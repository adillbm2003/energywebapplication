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Summary" sheetId="1" r:id="rId1"/>
    <sheet name="Solar Panel Applications 23.07."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43" formatCode="_(* #,##0.00_);_(* \(#,##0.00\);_(* &quot;-&quot;??_);_(@_)"/>
    <numFmt numFmtId="56" formatCode="&quot;上午/下午 &quot;hh&quot;時&quot;mm&quot;分&quot;ss&quot;秒 &quot;"/>
    <numFmt numFmtId="164" formatCode="0.00&quot;kW&quot;"/>
    <numFmt numFmtId="165" formatCode="0.0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C8"/>
  <sheetViews>
    <sheetView workbookViewId="0" rightToLeft="0"/>
  </sheetViews>
  <sheetData>
    <row r="3">
      <c r="A3" t="str">
        <v>Row Labels</v>
      </c>
      <c r="B3" t="str">
        <v>Sum of System Capacity</v>
      </c>
    </row>
    <row r="4">
      <c r="A4" t="str">
        <v>Complete</v>
      </c>
      <c r="B4">
        <v>7212.583000000002</v>
      </c>
    </row>
    <row r="5">
      <c r="A5" t="str">
        <v>Issue Certificate</v>
      </c>
      <c r="B5">
        <v>63.19</v>
      </c>
    </row>
    <row r="6">
      <c r="A6" t="str">
        <v>Issued</v>
      </c>
      <c r="B6">
        <v>7409.760999999999</v>
      </c>
    </row>
    <row r="7">
      <c r="A7" t="str">
        <v>Under Construction</v>
      </c>
      <c r="B7">
        <v>339.48999999999995</v>
      </c>
    </row>
    <row r="8">
      <c r="A8" t="str">
        <v>Grand Total</v>
      </c>
      <c r="B8">
        <v>15025.024</v>
      </c>
      <c r="C8" t="str">
        <f>ROUND(GETPIVOTDATA("System Capacity",$A$3)/1000,2)&amp;"MW"</f>
        <v>15.03MW</v>
      </c>
    </row>
  </sheetData>
  <pageMargins left="0.7" right="0.7" top="0.75" bottom="0.75" header="0.3" footer="0.3"/>
  <ignoredErrors>
    <ignoredError numberStoredAsText="1" sqref="A3:C8"/>
  </ignoredErrors>
</worksheet>
</file>

<file path=xl/worksheets/sheet2.xml><?xml version="1.0" encoding="utf-8"?>
<worksheet xmlns="http://schemas.openxmlformats.org/spreadsheetml/2006/main" xmlns:r="http://schemas.openxmlformats.org/officeDocument/2006/relationships">
  <dimension ref="A1:Q778"/>
  <sheetViews>
    <sheetView workbookViewId="0" rightToLeft="0"/>
  </sheetViews>
  <sheetData>
    <row r="1">
      <c r="A1" t="str">
        <v>Permit Number</v>
      </c>
      <c r="B1" t="str">
        <v>Address</v>
      </c>
      <c r="C1" t="str">
        <v>Permit Type</v>
      </c>
      <c r="D1" t="str">
        <v>Permit Status</v>
      </c>
      <c r="E1" t="str">
        <v>Permit Issue Date</v>
      </c>
      <c r="F1" t="str">
        <v>Permit Description</v>
      </c>
      <c r="G1" t="str">
        <v>System Capacity</v>
      </c>
      <c r="H1" t="str">
        <v>Permit Work Class</v>
      </c>
      <c r="I1" t="str">
        <v>Permit Application Date</v>
      </c>
      <c r="J1" t="str">
        <v>Permit Finaled Date</v>
      </c>
      <c r="K1" t="str">
        <v>Permit District</v>
      </c>
      <c r="L1" t="str">
        <v>Permit Expiration Date</v>
      </c>
      <c r="M1" t="str">
        <v>Permit Last Inspection Date</v>
      </c>
      <c r="N1" t="str">
        <v>Permit Assigned To</v>
      </c>
      <c r="O1" t="str">
        <v>Will Solar Panels be Installed?</v>
      </c>
      <c r="P1" t="str">
        <v>latitude</v>
      </c>
      <c r="Q1" t="str">
        <v>longitude</v>
      </c>
    </row>
    <row r="2" xml:space="preserve">
      <c r="A2" t="str">
        <v>PDP-0037-19</v>
      </c>
      <c r="B2" t="str" xml:space="preserve">
        <v xml:space="preserve">42 Smiths Island_x000d__x000d_
St. George's, BM DD01, Bermuda</v>
      </c>
      <c r="C2" t="str">
        <v>Permitted Development</v>
      </c>
      <c r="D2" t="str">
        <v>Complete</v>
      </c>
      <c r="E2">
        <v>43724</v>
      </c>
      <c r="F2" t="str">
        <v>Roof Mounted Solar PV System 15 Solaria 355W Modules @ 19.47sqft. each.  292sqft Total, System Capacity - 5.325, Annual Output - 7790h.</v>
      </c>
      <c r="G2">
        <v>5.325</v>
      </c>
      <c r="H2" t="str">
        <v>Residential</v>
      </c>
      <c r="I2">
        <v>43703</v>
      </c>
      <c r="J2">
        <v>43776</v>
      </c>
      <c r="K2" t="str">
        <v>St. George</v>
      </c>
      <c r="L2">
        <v>45551</v>
      </c>
      <c r="M2">
        <v>44120</v>
      </c>
      <c r="N2" t="str">
        <v/>
      </c>
      <c r="O2" t="str">
        <v>Yes</v>
      </c>
      <c r="P2">
        <v>32.371716</v>
      </c>
      <c r="Q2">
        <v>-64.6645257</v>
      </c>
    </row>
    <row r="3" xml:space="preserve">
      <c r="A3" t="str">
        <v>BR-0060-19</v>
      </c>
      <c r="B3" t="str" xml:space="preserve">
        <v xml:space="preserve">36 Wellington Street_x000d__x000d_
Town of St. George, BM GE02, Bermuda</v>
      </c>
      <c r="C3" t="str">
        <v>Building - Residential</v>
      </c>
      <c r="D3" t="str">
        <v>Complete</v>
      </c>
      <c r="E3">
        <v>43745</v>
      </c>
      <c r="F3" t="str">
        <v>Proposed Ground Mounted Solar PV System 548 Sqft Upper Unit - 15 x 350 Watts Modules System Capacity 5.25h- Lower Unit - 15 x 350 Watts Modules System Capacity 5.25h Annual Output 7575</v>
      </c>
      <c r="G3">
        <v>10.5</v>
      </c>
      <c r="H3" t="str">
        <v>Building Residential</v>
      </c>
      <c r="I3">
        <v>43725</v>
      </c>
      <c r="J3">
        <v>43880</v>
      </c>
      <c r="K3" t="str">
        <v>Town of St. George</v>
      </c>
      <c r="L3">
        <v>45572</v>
      </c>
      <c r="M3">
        <v>43880</v>
      </c>
      <c r="N3" t="str">
        <v>System Administrator</v>
      </c>
      <c r="O3" t="str">
        <v>Yes</v>
      </c>
      <c r="P3">
        <v>32.379602</v>
      </c>
      <c r="Q3">
        <v>-64.6799249</v>
      </c>
    </row>
    <row r="4" xml:space="preserve">
      <c r="A4" t="str">
        <v>BC-0026-19</v>
      </c>
      <c r="B4" t="str" xml:space="preserve">
        <v xml:space="preserve">11 Woodlands Road_x000d__x000d_
Pembroke, BM HM09, Bermuda</v>
      </c>
      <c r="C4" t="str">
        <v>Building - Commercial</v>
      </c>
      <c r="D4" t="str">
        <v>Complete</v>
      </c>
      <c r="E4">
        <v>43746</v>
      </c>
      <c r="F4" t="str">
        <v>Roof Mounted Solar PV System 2551sqf 131 solaria 350 Modules@19.47sqft. System Capacity - 45.85. Annual Output - 68242h</v>
      </c>
      <c r="G4">
        <v>45.85</v>
      </c>
      <c r="H4" t="str">
        <v>Building Commercial</v>
      </c>
      <c r="I4">
        <v>43717</v>
      </c>
      <c r="J4">
        <v>43805</v>
      </c>
      <c r="K4" t="str">
        <v>Pembroke</v>
      </c>
      <c r="L4">
        <v>45572</v>
      </c>
      <c r="M4">
        <v>44120</v>
      </c>
      <c r="N4" t="str">
        <v>System Administrator</v>
      </c>
      <c r="O4" t="str">
        <v>Yes</v>
      </c>
      <c r="P4">
        <v>32.2995297</v>
      </c>
      <c r="Q4">
        <v>-64.7891029</v>
      </c>
    </row>
    <row r="5" xml:space="preserve">
      <c r="A5" t="str">
        <v>PDP-0075-19</v>
      </c>
      <c r="B5" t="str" xml:space="preserve">
        <v xml:space="preserve">22 Rose Hill Road_x000d__x000d_
Southampton, BM SB03, Bermuda</v>
      </c>
      <c r="C5" t="str">
        <v>Permitted Development</v>
      </c>
      <c r="D5" t="str">
        <v>Complete</v>
      </c>
      <c r="E5">
        <v>43749</v>
      </c>
      <c r="F5" t="str">
        <v>Roof Mounted solar PV system 97sqft 5 Solaria 355W, System Capacity 1.775, Annual Output 2726 Wh</v>
      </c>
      <c r="G5">
        <v>1.775</v>
      </c>
      <c r="H5" t="str">
        <v>Residential</v>
      </c>
      <c r="I5">
        <v>43739</v>
      </c>
      <c r="J5">
        <v>43760</v>
      </c>
      <c r="K5" t="str">
        <v>Southampton</v>
      </c>
      <c r="L5">
        <v>45575</v>
      </c>
      <c r="M5">
        <v>43760</v>
      </c>
      <c r="N5" t="str">
        <v>System Administrator</v>
      </c>
      <c r="O5" t="str">
        <v>Yes</v>
      </c>
      <c r="P5">
        <v>32.2611314</v>
      </c>
      <c r="Q5">
        <v>-64.8705102</v>
      </c>
    </row>
    <row r="6" xml:space="preserve">
      <c r="A6" t="str">
        <v>PDP-0071-19</v>
      </c>
      <c r="B6" t="str" xml:space="preserve">
        <v xml:space="preserve">12 Cedar Hurst Place_x000d__x000d_
Southampton, BM SB04, Bermuda</v>
      </c>
      <c r="C6" t="str">
        <v>Permitted Development</v>
      </c>
      <c r="D6" t="str">
        <v>Complete</v>
      </c>
      <c r="E6">
        <v>43749</v>
      </c>
      <c r="F6" t="str">
        <v>Roof Mounted Solar PV System 234sqft. 12 Solaria 355W Modules, System Capacity:4.26 Annual Output 6374h</v>
      </c>
      <c r="G6">
        <v>4.26</v>
      </c>
      <c r="H6" t="str">
        <v>Residential</v>
      </c>
      <c r="I6">
        <v>43734</v>
      </c>
      <c r="J6">
        <v>43776</v>
      </c>
      <c r="K6" t="str">
        <v>Southampton</v>
      </c>
      <c r="L6">
        <v>45575</v>
      </c>
      <c r="M6">
        <v>44120</v>
      </c>
      <c r="N6" t="str">
        <v>System Administrator</v>
      </c>
      <c r="O6" t="str">
        <v>Yes</v>
      </c>
      <c r="P6">
        <v>32.2592094</v>
      </c>
      <c r="Q6">
        <v>-64.8649653</v>
      </c>
    </row>
    <row r="7" xml:space="preserve">
      <c r="A7" t="str">
        <v>PDP-0102-19</v>
      </c>
      <c r="B7" t="str" xml:space="preserve">
        <v xml:space="preserve">165 South Road_x000d__x000d_
Paget, BM DV04, Bermuda</v>
      </c>
      <c r="C7" t="str">
        <v>Permitted Development</v>
      </c>
      <c r="D7" t="str">
        <v>Complete</v>
      </c>
      <c r="E7">
        <v>43774</v>
      </c>
      <c r="F7" t="str">
        <v>Roof mounted solar PV system - 156sqft - 8x Solaria 355W modules System Capacity: 2.84, Annual Output: 5742h</v>
      </c>
      <c r="G7">
        <v>2.84</v>
      </c>
      <c r="H7" t="str">
        <v>Residential</v>
      </c>
      <c r="I7">
        <v>43759</v>
      </c>
      <c r="J7">
        <v>43815</v>
      </c>
      <c r="K7" t="str">
        <v>Paget</v>
      </c>
      <c r="L7">
        <v>45600</v>
      </c>
      <c r="M7">
        <v>43809</v>
      </c>
      <c r="N7" t="str">
        <v/>
      </c>
      <c r="O7" t="str">
        <v>Yes</v>
      </c>
      <c r="P7">
        <v>32.282015</v>
      </c>
      <c r="Q7">
        <v>-64.77564</v>
      </c>
    </row>
    <row r="8" xml:space="preserve">
      <c r="A8" t="str">
        <v>BR-0082-19</v>
      </c>
      <c r="B8" t="str" xml:space="preserve">
        <v xml:space="preserve">10 North Ridge Crescent Unit: B_x000d__x000d_
Devonshire, BM DV05, Bermuda</v>
      </c>
      <c r="C8" t="str">
        <v>Building - Residential</v>
      </c>
      <c r="D8" t="str">
        <v>Complete</v>
      </c>
      <c r="E8">
        <v>43787</v>
      </c>
      <c r="F8" t="str">
        <v>Roof Mounted Solar System 272sqft. 14 Solaria 355W Modules -  4.97 System Capacity, 7184h Annual Output.</v>
      </c>
      <c r="G8">
        <v>4.97</v>
      </c>
      <c r="H8" t="str">
        <v>Building Residential</v>
      </c>
      <c r="I8">
        <v>43746</v>
      </c>
      <c r="J8">
        <v>43805</v>
      </c>
      <c r="K8" t="str">
        <v>Devonshire</v>
      </c>
      <c r="L8">
        <v>45614</v>
      </c>
      <c r="M8">
        <v>43805</v>
      </c>
      <c r="N8" t="str">
        <v>System Administrator</v>
      </c>
      <c r="O8" t="str">
        <v>Yes</v>
      </c>
      <c r="P8">
        <v>32.3118319</v>
      </c>
      <c r="Q8">
        <v>-64.7551732</v>
      </c>
    </row>
    <row r="9" xml:space="preserve">
      <c r="A9" t="str">
        <v>PDP-0134-19</v>
      </c>
      <c r="B9" t="str" xml:space="preserve">
        <v xml:space="preserve">4 Pokiok Road_x000d__x000d_
Smiths, BM FL05, Bermuda</v>
      </c>
      <c r="C9" t="str">
        <v>Permitted Development</v>
      </c>
      <c r="D9" t="str">
        <v>Complete</v>
      </c>
      <c r="E9">
        <v>43797</v>
      </c>
      <c r="F9" t="str" xml:space="preserve">
        <v xml:space="preserve">Roof Mounted Solar PV 467sqft_x000d__x000d_
24 Solaria 355W_x000d__x000d_
System Capacity8.52 _x000d__x000d_
Annual Output:11860h</v>
      </c>
      <c r="G9">
        <v>8.52</v>
      </c>
      <c r="H9" t="str">
        <v>Residential</v>
      </c>
      <c r="I9">
        <v>43783</v>
      </c>
      <c r="J9">
        <v>43838</v>
      </c>
      <c r="K9" t="str">
        <v>Smiths</v>
      </c>
      <c r="L9">
        <v>45623</v>
      </c>
      <c r="M9">
        <v>43838</v>
      </c>
      <c r="N9" t="str">
        <v/>
      </c>
      <c r="O9" t="str">
        <v>Yes</v>
      </c>
      <c r="P9">
        <v>32.3092928</v>
      </c>
      <c r="Q9">
        <v>-64.7335728</v>
      </c>
    </row>
    <row r="10" xml:space="preserve">
      <c r="A10" t="str">
        <v>PDP-0146-19</v>
      </c>
      <c r="B10" t="str" xml:space="preserve">
        <v xml:space="preserve">23 Green Acres Road_x000d__x000d_
Devonshire, BM DV08, Bermuda</v>
      </c>
      <c r="C10" t="str">
        <v>Permitted Development</v>
      </c>
      <c r="D10" t="str">
        <v>Complete</v>
      </c>
      <c r="E10">
        <v>43804</v>
      </c>
      <c r="F10" t="str">
        <v xml:space="preserve">Roof Mounted Solar PV 234sqft, 12 Solaris Modules @19.47sf ea. System Capacity:4.26, Annual Output 6158h </v>
      </c>
      <c r="G10">
        <v>4.26</v>
      </c>
      <c r="H10" t="str">
        <v>Residential</v>
      </c>
      <c r="I10">
        <v>43791</v>
      </c>
      <c r="J10">
        <v>43844</v>
      </c>
      <c r="K10" t="str">
        <v>Devonshire</v>
      </c>
      <c r="L10">
        <v>45630</v>
      </c>
      <c r="M10">
        <v>43844</v>
      </c>
      <c r="N10" t="str">
        <v/>
      </c>
      <c r="O10" t="str">
        <v>Yes</v>
      </c>
      <c r="P10">
        <v>32.30428</v>
      </c>
      <c r="Q10">
        <v>-64.746756</v>
      </c>
    </row>
    <row r="11" xml:space="preserve">
      <c r="A11" t="str">
        <v>PDP-0059-19</v>
      </c>
      <c r="B11" t="str" xml:space="preserve">
        <v xml:space="preserve">31 Tuckers Town Road_x000d__x000d_
St. George's, BM HS02, Bermuda</v>
      </c>
      <c r="C11" t="str">
        <v>Permitted Development</v>
      </c>
      <c r="D11" t="str">
        <v>Complete</v>
      </c>
      <c r="E11">
        <v>43816</v>
      </c>
      <c r="F11" t="str">
        <v>Roof Mounted PVC 1032sqft, 53 Solaria 355W Modules, System Capacity 18.815, Annual Output 24876h</v>
      </c>
      <c r="G11">
        <v>18.81</v>
      </c>
      <c r="H11" t="str">
        <v>Residential</v>
      </c>
      <c r="I11">
        <v>43724</v>
      </c>
      <c r="J11">
        <v>43798</v>
      </c>
      <c r="K11" t="str">
        <v>St. George</v>
      </c>
      <c r="L11" t="str">
        <v/>
      </c>
      <c r="M11">
        <v>43784</v>
      </c>
      <c r="N11" t="str">
        <v>System Administrator</v>
      </c>
      <c r="O11" t="str">
        <v>Yes</v>
      </c>
      <c r="P11">
        <v>32.333312</v>
      </c>
      <c r="Q11">
        <v>-64.688369</v>
      </c>
    </row>
    <row r="12" xml:space="preserve">
      <c r="A12" t="str">
        <v>PDP-0163-19</v>
      </c>
      <c r="B12" t="str" xml:space="preserve">
        <v xml:space="preserve">2 Fort George Drive_x000d__x000d_
Town of St. George, BM GE02, Bermuda</v>
      </c>
      <c r="C12" t="str">
        <v>Permitted Development</v>
      </c>
      <c r="D12" t="str">
        <v>Complete</v>
      </c>
      <c r="E12">
        <v>43817</v>
      </c>
      <c r="F12" t="str">
        <v>Roof Mounted Solar PV System 158sqft. - 9 Peimar 315 Modules @17,46sqft each, System Capacity: 2.835 Annual Output 4279h.</v>
      </c>
      <c r="G12">
        <v>2.835</v>
      </c>
      <c r="H12" t="str">
        <v>Residential</v>
      </c>
      <c r="I12">
        <v>43809</v>
      </c>
      <c r="J12">
        <v>43864</v>
      </c>
      <c r="K12" t="str">
        <v>Town of St. George</v>
      </c>
      <c r="L12">
        <v>45643</v>
      </c>
      <c r="M12">
        <v>43864</v>
      </c>
      <c r="N12" t="str">
        <v/>
      </c>
      <c r="O12" t="str">
        <v>Yes</v>
      </c>
      <c r="P12">
        <v>32.3796724</v>
      </c>
      <c r="Q12">
        <v>-64.6823431</v>
      </c>
    </row>
    <row r="13" xml:space="preserve">
      <c r="A13" t="str">
        <v>PDP-0188-20</v>
      </c>
      <c r="B13" t="str" xml:space="preserve">
        <v xml:space="preserve">4 Sound View Road_x000d__x000d_
Sandys, BM MA05, Bermuda</v>
      </c>
      <c r="C13" t="str">
        <v>Permitted Development</v>
      </c>
      <c r="D13" t="str">
        <v>Complete</v>
      </c>
      <c r="E13">
        <v>43840</v>
      </c>
      <c r="F13" t="str">
        <v>Roof Mounted Solar PV System 12 Panels, (315W per Panel) Total Wattage 3.78.</v>
      </c>
      <c r="G13">
        <v>3.78</v>
      </c>
      <c r="H13" t="str">
        <v>Residential</v>
      </c>
      <c r="I13">
        <v>43838</v>
      </c>
      <c r="J13">
        <v>43867</v>
      </c>
      <c r="K13" t="str">
        <v>Sandys</v>
      </c>
      <c r="L13">
        <v>45666</v>
      </c>
      <c r="M13">
        <v>43867</v>
      </c>
      <c r="N13" t="str">
        <v/>
      </c>
      <c r="O13" t="str">
        <v>Yes</v>
      </c>
      <c r="P13">
        <v>32.2953411</v>
      </c>
      <c r="Q13">
        <v>-64.8629142</v>
      </c>
    </row>
    <row r="14" xml:space="preserve">
      <c r="A14" t="str">
        <v>BC-0102-19</v>
      </c>
      <c r="B14" t="str" xml:space="preserve">
        <v xml:space="preserve">19 Richmond Road_x000d__x000d_
Pembroke, BM HM08, Bermuda</v>
      </c>
      <c r="C14" t="str">
        <v>Building - Commercial</v>
      </c>
      <c r="D14" t="str">
        <v>Complete</v>
      </c>
      <c r="E14">
        <v>43854</v>
      </c>
      <c r="F14" t="str">
        <v>Roof Mounted Solar PV System 3232 sq' Total 166 Solaria 355W Modules @ 19.45 sq' System Capacity 58.93, Annual Output 81738h</v>
      </c>
      <c r="G14">
        <v>58.93</v>
      </c>
      <c r="H14" t="str">
        <v>Building Commercial</v>
      </c>
      <c r="I14">
        <v>43815</v>
      </c>
      <c r="J14">
        <v>44124</v>
      </c>
      <c r="K14" t="str">
        <v>Pembroke</v>
      </c>
      <c r="L14">
        <v>45680</v>
      </c>
      <c r="M14">
        <v>44124</v>
      </c>
      <c r="N14" t="str">
        <v>System Administrator</v>
      </c>
      <c r="O14" t="str">
        <v>Yes</v>
      </c>
      <c r="P14">
        <v>32.2942516</v>
      </c>
      <c r="Q14">
        <v>-64.7880402</v>
      </c>
    </row>
    <row r="15" xml:space="preserve">
      <c r="A15" t="str">
        <v>PDP-0194-20</v>
      </c>
      <c r="B15" t="str" xml:space="preserve">
        <v xml:space="preserve">2 Pokiok Close_x000d__x000d_
Smiths, BM FL05, Bermuda</v>
      </c>
      <c r="C15" t="str">
        <v>Permitted Development</v>
      </c>
      <c r="D15" t="str">
        <v>Complete</v>
      </c>
      <c r="E15">
        <v>43854</v>
      </c>
      <c r="F15" t="str">
        <v>Roof mounted Solar PV system 280 sq ft. 16 Peimar Modules 315W modules @ 17.46 sq ft. System Capacity: 5.04. Annual Output: 7219h</v>
      </c>
      <c r="G15">
        <v>5.04</v>
      </c>
      <c r="H15" t="str">
        <v>Residential</v>
      </c>
      <c r="I15">
        <v>43847</v>
      </c>
      <c r="J15">
        <v>43879</v>
      </c>
      <c r="K15" t="str">
        <v>Smiths</v>
      </c>
      <c r="L15">
        <v>45680</v>
      </c>
      <c r="M15">
        <v>43880</v>
      </c>
      <c r="N15" t="str">
        <v/>
      </c>
      <c r="O15" t="str">
        <v>Yes</v>
      </c>
      <c r="P15">
        <v>32.3089606</v>
      </c>
      <c r="Q15">
        <v>-64.7343679</v>
      </c>
    </row>
    <row r="16" xml:space="preserve">
      <c r="A16" t="str">
        <v>PDP-0197-20</v>
      </c>
      <c r="B16" t="str" xml:space="preserve">
        <v xml:space="preserve">2 Sound View Road_x000d__x000d_
Sandys, BM MA05, Bermuda</v>
      </c>
      <c r="C16" t="str">
        <v>Permitted Development</v>
      </c>
      <c r="D16" t="str">
        <v>Complete</v>
      </c>
      <c r="E16">
        <v>43860</v>
      </c>
      <c r="F16" t="str">
        <v>Proposed Roof Mounted Solar PV System 210sqft - 12x Peimar 315W modules @ 17.46sqft ea. System Capacity: 3.78, Annual Output: 5419h</v>
      </c>
      <c r="G16">
        <v>3.78</v>
      </c>
      <c r="H16" t="str">
        <v>Residential</v>
      </c>
      <c r="I16">
        <v>43847</v>
      </c>
      <c r="J16">
        <v>43878</v>
      </c>
      <c r="K16" t="str">
        <v>Sandys</v>
      </c>
      <c r="L16">
        <v>45686</v>
      </c>
      <c r="M16">
        <v>43875</v>
      </c>
      <c r="N16" t="str">
        <v/>
      </c>
      <c r="O16" t="str">
        <v>Yes</v>
      </c>
      <c r="P16">
        <v>32.294539</v>
      </c>
      <c r="Q16">
        <v>-64.869691</v>
      </c>
    </row>
    <row r="17" xml:space="preserve">
      <c r="A17" t="str">
        <v>PDP-0212-20</v>
      </c>
      <c r="B17" t="str" xml:space="preserve">
        <v xml:space="preserve">1 Overock Hill_x000d__x000d_
Pembroke, BM HM05, Bermuda</v>
      </c>
      <c r="C17" t="str">
        <v>Permitted Development</v>
      </c>
      <c r="D17" t="str">
        <v>Complete</v>
      </c>
      <c r="E17">
        <v>43868</v>
      </c>
      <c r="F17" t="str">
        <v>Roof Mounted Solar PV System 467sqft 24 Solaria 355W Modules @19.47sqft ea. System Capacity : 8.52, Annual Output: 11364h.</v>
      </c>
      <c r="G17">
        <v>8.52</v>
      </c>
      <c r="H17" t="str">
        <v>Residential</v>
      </c>
      <c r="I17">
        <v>43861</v>
      </c>
      <c r="J17">
        <v>44361</v>
      </c>
      <c r="K17" t="str">
        <v>Pembroke</v>
      </c>
      <c r="L17">
        <v>45694</v>
      </c>
      <c r="M17">
        <v>44361</v>
      </c>
      <c r="N17" t="str">
        <v/>
      </c>
      <c r="O17" t="str">
        <v>Yes</v>
      </c>
      <c r="P17">
        <v>32.2934927</v>
      </c>
      <c r="Q17">
        <v>-64.8035325</v>
      </c>
    </row>
    <row r="18" xml:space="preserve">
      <c r="A18" t="str">
        <v>PDP-0221-20</v>
      </c>
      <c r="B18" t="str" xml:space="preserve">
        <v xml:space="preserve">50 Ord Road_x000d__x000d_
Paget, BM PG04, Bermuda</v>
      </c>
      <c r="C18" t="str">
        <v>Permitted Development</v>
      </c>
      <c r="D18" t="str">
        <v>Complete</v>
      </c>
      <c r="E18">
        <v>43874</v>
      </c>
      <c r="F18" t="str">
        <v>Two (2) Roof Mounted Solar PV Systems 542sqft: Main House 19 Peimar 315W modules, 332sqft, System Capacity: 5.985, Annual Output: 9002h, Apartment: 12 Peimar 315W modules, 210sqft, System Capacity: 3.78, Annual Output: 4742h</v>
      </c>
      <c r="G18">
        <v>5.985</v>
      </c>
      <c r="H18" t="str">
        <v>Residential</v>
      </c>
      <c r="I18">
        <v>43866</v>
      </c>
      <c r="J18">
        <v>43909</v>
      </c>
      <c r="K18" t="str">
        <v>Paget</v>
      </c>
      <c r="L18">
        <v>45700</v>
      </c>
      <c r="M18">
        <v>43908</v>
      </c>
      <c r="N18" t="str">
        <v/>
      </c>
      <c r="O18" t="str">
        <v>Yes</v>
      </c>
      <c r="P18">
        <v>32.277945</v>
      </c>
      <c r="Q18">
        <v>-64.781967</v>
      </c>
    </row>
    <row r="19" xml:space="preserve">
      <c r="A19" t="str">
        <v>PDP-0218-20</v>
      </c>
      <c r="B19" t="str" xml:space="preserve">
        <v xml:space="preserve">6 Frolic Lane_x000d__x000d_
Southampton, BM SN04, Bermuda</v>
      </c>
      <c r="C19" t="str">
        <v>Permitted Development</v>
      </c>
      <c r="D19" t="str">
        <v>Complete</v>
      </c>
      <c r="E19">
        <v>43874</v>
      </c>
      <c r="F19" t="str">
        <v>Roof Mounted Solar PV System 228sqft - 13 Peimar 315W Modules @17.47sqft each. System Capacity: 4.095, Annual Output: 5966h.</v>
      </c>
      <c r="G19">
        <v>4.1</v>
      </c>
      <c r="H19" t="str">
        <v>Residential</v>
      </c>
      <c r="I19">
        <v>43864</v>
      </c>
      <c r="J19">
        <v>43900</v>
      </c>
      <c r="K19" t="str">
        <v>Southampton</v>
      </c>
      <c r="L19">
        <v>45700</v>
      </c>
      <c r="M19">
        <v>43899</v>
      </c>
      <c r="N19" t="str">
        <v/>
      </c>
      <c r="O19" t="str">
        <v>Yes</v>
      </c>
      <c r="P19">
        <v>32.2580681</v>
      </c>
      <c r="Q19">
        <v>-64.8209506</v>
      </c>
    </row>
    <row r="20" xml:space="preserve">
      <c r="A20" t="str">
        <v>PDP-0232-20</v>
      </c>
      <c r="B20" t="str" xml:space="preserve">
        <v xml:space="preserve">162 Middle Road_x000d__x000d_
Devonshire, BM FL02, Bermuda</v>
      </c>
      <c r="C20" t="str">
        <v>Permitted Development</v>
      </c>
      <c r="D20" t="str">
        <v>Complete</v>
      </c>
      <c r="E20">
        <v>43879</v>
      </c>
      <c r="F20" t="str">
        <v>Proposed work for Apt #2,  Roof Mounted Solar PV System 140sqft - 8 Peimar 315W modules @17.46sf ea. System Capacity: 2.52, Annual Output: 3690h. *Revision: One Additional Solar PV 315W Module - Updated System info Below,  System Capacity:2.835,  Annual Output: 4244h,  System Area: 158sqft.</v>
      </c>
      <c r="G20">
        <v>5.335</v>
      </c>
      <c r="H20" t="str">
        <v>Residential</v>
      </c>
      <c r="I20">
        <v>43874</v>
      </c>
      <c r="J20">
        <v>44322</v>
      </c>
      <c r="K20" t="str">
        <v>Devonshire</v>
      </c>
      <c r="L20">
        <v>45705</v>
      </c>
      <c r="M20">
        <v>44321</v>
      </c>
      <c r="N20" t="str">
        <v/>
      </c>
      <c r="O20" t="str">
        <v>Yes</v>
      </c>
      <c r="P20">
        <v>32.30203</v>
      </c>
      <c r="Q20">
        <v>-64.757146</v>
      </c>
    </row>
    <row r="21" xml:space="preserve">
      <c r="A21" t="str">
        <v>PDP-0199-20</v>
      </c>
      <c r="B21" t="str" xml:space="preserve">
        <v xml:space="preserve">22 Industrial Park Road_x000d__x000d_
Southampton, BM SB04, Bermuda</v>
      </c>
      <c r="C21" t="str">
        <v>Permitted Development</v>
      </c>
      <c r="D21" t="str">
        <v>Complete</v>
      </c>
      <c r="E21">
        <v>43902</v>
      </c>
      <c r="F21" t="str" xml:space="preserve">
        <v xml:space="preserve">Proposed Roof Mounted Solar PV System Servicing Two Units._x000d__x000d_
Unit 2:   18 x Panasonic 325w Modules, 5.850 , Area, 324.36 sf. _x000d__x000d_
Unit 4 :  18 x Panasonic 325w Modules, 5.850 , Area, 324.36 sf.</v>
      </c>
      <c r="G21">
        <v>11.7</v>
      </c>
      <c r="H21" t="str">
        <v>Commercial</v>
      </c>
      <c r="I21">
        <v>43851</v>
      </c>
      <c r="J21">
        <v>43999</v>
      </c>
      <c r="K21" t="str">
        <v>Southampton</v>
      </c>
      <c r="L21">
        <v>45728</v>
      </c>
      <c r="M21">
        <v>43998</v>
      </c>
      <c r="N21" t="str">
        <v/>
      </c>
      <c r="O21" t="str">
        <v>Yes</v>
      </c>
      <c r="P21">
        <v>32.2524794</v>
      </c>
      <c r="Q21">
        <v>-64.8650018</v>
      </c>
    </row>
    <row r="22" xml:space="preserve">
      <c r="A22" t="str">
        <v>PDP-0258-20</v>
      </c>
      <c r="B22" t="str" xml:space="preserve">
        <v xml:space="preserve">9 Cavendish Road_x000d__x000d_
Pembroke, BM HM19, Bermuda</v>
      </c>
      <c r="C22" t="str">
        <v>Permitted Development</v>
      </c>
      <c r="D22" t="str">
        <v>Complete</v>
      </c>
      <c r="E22">
        <v>43907</v>
      </c>
      <c r="F22" t="str">
        <v>Roof Mounted Solar PV System, 21x330w Panasonic Modules = 6.93, Total Modules Area 378.42ft</v>
      </c>
      <c r="G22">
        <v>6.93</v>
      </c>
      <c r="H22" t="str">
        <v>Residential</v>
      </c>
      <c r="I22">
        <v>43893</v>
      </c>
      <c r="J22">
        <v>44026</v>
      </c>
      <c r="K22" t="str">
        <v>Pembroke</v>
      </c>
      <c r="L22">
        <v>45733</v>
      </c>
      <c r="M22">
        <v>44026</v>
      </c>
      <c r="N22" t="str">
        <v/>
      </c>
      <c r="O22" t="str">
        <v>Yes</v>
      </c>
      <c r="P22">
        <v>32.2941</v>
      </c>
      <c r="Q22">
        <v>-64.7761183</v>
      </c>
    </row>
    <row r="23" xml:space="preserve">
      <c r="A23" t="str">
        <v>PDP-0256-20</v>
      </c>
      <c r="B23" t="str" xml:space="preserve">
        <v xml:space="preserve">40 Tanglewood Road_x000d__x000d_
Paget, BM PG03, Bermuda</v>
      </c>
      <c r="C23" t="str">
        <v>Permitted Development</v>
      </c>
      <c r="D23" t="str">
        <v>Complete</v>
      </c>
      <c r="E23">
        <v>43908</v>
      </c>
      <c r="F23" t="str">
        <v>Roof Mounted Solar PV System 559sqft, 32 Peimar 315W modules @ 17.46sqft ea., System Capacity: 10.08, Annual Output: 14202h.</v>
      </c>
      <c r="G23">
        <v>10.08</v>
      </c>
      <c r="H23" t="str">
        <v>Residential</v>
      </c>
      <c r="I23">
        <v>43893</v>
      </c>
      <c r="J23">
        <v>43964</v>
      </c>
      <c r="K23" t="str">
        <v>Paget</v>
      </c>
      <c r="L23">
        <v>45734</v>
      </c>
      <c r="M23">
        <v>43964</v>
      </c>
      <c r="N23" t="str">
        <v/>
      </c>
      <c r="O23" t="str">
        <v>Yes</v>
      </c>
      <c r="P23">
        <v>32.278633</v>
      </c>
      <c r="Q23">
        <v>-64.78815</v>
      </c>
    </row>
    <row r="24" xml:space="preserve">
      <c r="A24" t="str">
        <v>PDP-0261-20</v>
      </c>
      <c r="B24" t="str" xml:space="preserve">
        <v xml:space="preserve">7 Flowercote Lane_x000d__x000d_
Smiths, BM FL06, Bermuda</v>
      </c>
      <c r="C24" t="str">
        <v>Permitted Development</v>
      </c>
      <c r="D24" t="str">
        <v>Complete</v>
      </c>
      <c r="E24">
        <v>43921</v>
      </c>
      <c r="F24" t="str">
        <v>roof mounted solar PV system 467sqft, 24x Solaria 355W modules @ 19.46sqft ea., System Capacity: 8.52, Annual Output: 12116h</v>
      </c>
      <c r="G24">
        <v>8.52</v>
      </c>
      <c r="H24" t="str">
        <v>Residential</v>
      </c>
      <c r="I24">
        <v>43900</v>
      </c>
      <c r="J24">
        <v>44039</v>
      </c>
      <c r="K24" t="str">
        <v>Smiths</v>
      </c>
      <c r="L24">
        <v>45747</v>
      </c>
      <c r="M24">
        <v>44039</v>
      </c>
      <c r="N24" t="str">
        <v/>
      </c>
      <c r="O24" t="str">
        <v>Yes</v>
      </c>
      <c r="P24">
        <v>32.318055</v>
      </c>
      <c r="Q24">
        <v>-64.726019</v>
      </c>
    </row>
    <row r="25" xml:space="preserve">
      <c r="A25" t="str">
        <v>PDP-0255-20</v>
      </c>
      <c r="B25" t="str" xml:space="preserve">
        <v xml:space="preserve">6 Flowercote Lane_x000d__x000d_
Smiths, BM FL06, Bermuda</v>
      </c>
      <c r="C25" t="str">
        <v>Permitted Development</v>
      </c>
      <c r="D25" t="str">
        <v>Complete</v>
      </c>
      <c r="E25">
        <v>43922</v>
      </c>
      <c r="F25" t="str">
        <v>Roof Mounted Solar PV System 545sqft, 28 Solaria 355W modules @ 19.47sqft ea., System Capacity: 9.94, Annual Output: 12878h.</v>
      </c>
      <c r="G25">
        <v>9.94</v>
      </c>
      <c r="H25" t="str">
        <v>Residential</v>
      </c>
      <c r="I25">
        <v>43893</v>
      </c>
      <c r="J25">
        <v>44039</v>
      </c>
      <c r="K25" t="str">
        <v>Smiths</v>
      </c>
      <c r="L25">
        <v>45748</v>
      </c>
      <c r="M25">
        <v>44039</v>
      </c>
      <c r="N25" t="str">
        <v/>
      </c>
      <c r="O25" t="str">
        <v>Yes</v>
      </c>
      <c r="P25">
        <v>32.318542</v>
      </c>
      <c r="Q25">
        <v>-64.726049</v>
      </c>
    </row>
    <row r="26" xml:space="preserve">
      <c r="A26" t="str">
        <v>PDP-0061-19</v>
      </c>
      <c r="B26" t="str" xml:space="preserve">
        <v xml:space="preserve">3 Clingstone Lane_x000d__x000d_
Hamilton, BM CR04, Bermuda</v>
      </c>
      <c r="C26" t="str">
        <v>Permitted Development</v>
      </c>
      <c r="D26" t="str">
        <v>Complete</v>
      </c>
      <c r="E26">
        <v>43928</v>
      </c>
      <c r="F26" t="str">
        <v>Roof Mounted Solar PV System - 54 Panasonic 330W PV @17.82 Total Roof Coverage 974 sqft. -2x 7.6  Storage Grid Tied Inverters with LG Chem, Resoio Battery Back-up.</v>
      </c>
      <c r="G26">
        <v>17.82</v>
      </c>
      <c r="H26" t="str">
        <v>Residential</v>
      </c>
      <c r="I26">
        <v>43725</v>
      </c>
      <c r="J26">
        <v>45546</v>
      </c>
      <c r="K26" t="str">
        <v>Hamilton</v>
      </c>
      <c r="L26">
        <v>45754</v>
      </c>
      <c r="M26">
        <v>44022</v>
      </c>
      <c r="N26" t="str">
        <v/>
      </c>
      <c r="O26" t="str">
        <v>Yes</v>
      </c>
      <c r="P26">
        <v>32.3397028</v>
      </c>
      <c r="Q26">
        <v>-64.7090333</v>
      </c>
    </row>
    <row r="27" xml:space="preserve">
      <c r="A27" t="str">
        <v>BR-0182-20</v>
      </c>
      <c r="B27" t="str" xml:space="preserve">
        <v xml:space="preserve">9 Abri Lane_x000d__x000d_
Pembroke, BM HM02, Bermuda</v>
      </c>
      <c r="C27" t="str">
        <v>Building - Residential</v>
      </c>
      <c r="D27" t="str">
        <v>Complete</v>
      </c>
      <c r="E27">
        <v>43938</v>
      </c>
      <c r="F27" t="str">
        <v>Installation of PV Solar Panels on Grade. 15 Panels x 415 watts ea. = 6,225watts.</v>
      </c>
      <c r="G27">
        <v>6.225</v>
      </c>
      <c r="H27" t="str">
        <v>Building Residential</v>
      </c>
      <c r="I27">
        <v>43868</v>
      </c>
      <c r="J27">
        <v>44027</v>
      </c>
      <c r="K27" t="str">
        <v>Pembroke</v>
      </c>
      <c r="L27">
        <v>45764</v>
      </c>
      <c r="M27">
        <v>44026</v>
      </c>
      <c r="N27" t="str">
        <v/>
      </c>
      <c r="O27" t="str">
        <v>Yes</v>
      </c>
      <c r="P27">
        <v>32.3029102</v>
      </c>
      <c r="Q27">
        <v>-64.8075487</v>
      </c>
    </row>
    <row r="28" xml:space="preserve">
      <c r="A28" t="str">
        <v>PDP-0272-20</v>
      </c>
      <c r="B28" t="str" xml:space="preserve">
        <v xml:space="preserve">8 Lemarc Estate_x000d__x000d_
Warwick, BM WK03, Bermuda</v>
      </c>
      <c r="C28" t="str">
        <v>Permitted Development</v>
      </c>
      <c r="D28" t="str">
        <v>Complete</v>
      </c>
      <c r="E28">
        <v>43950</v>
      </c>
      <c r="F28" t="str">
        <v xml:space="preserve">Total Module Area = 252.28 ft,  Roof Mounted Solar PV System, 14x330W Panasonic Modules = 4.62 </v>
      </c>
      <c r="G28">
        <v>4.62</v>
      </c>
      <c r="H28" t="str">
        <v>Residential</v>
      </c>
      <c r="I28">
        <v>43916</v>
      </c>
      <c r="J28">
        <v>44012</v>
      </c>
      <c r="K28" t="str">
        <v>Warwick</v>
      </c>
      <c r="L28">
        <v>45776</v>
      </c>
      <c r="M28">
        <v>44011</v>
      </c>
      <c r="N28" t="str">
        <v/>
      </c>
      <c r="O28" t="str">
        <v>Yes</v>
      </c>
      <c r="P28">
        <v>32.2611639</v>
      </c>
      <c r="Q28">
        <v>-64.8135823</v>
      </c>
    </row>
    <row r="29" xml:space="preserve">
      <c r="A29" t="str">
        <v>PDP-0273-20</v>
      </c>
      <c r="B29" t="str" xml:space="preserve">
        <v xml:space="preserve">3 Perots Island_x000d__x000d_
Southampton, BM SN04, Bermuda</v>
      </c>
      <c r="C29" t="str">
        <v>Permitted Development</v>
      </c>
      <c r="D29" t="str">
        <v>Complete</v>
      </c>
      <c r="E29">
        <v>43950</v>
      </c>
      <c r="F29" t="str">
        <v>Roof Mounted Solar PV System, Total Module Area = 432.48ft, 24x330W Panasonic Modules= 7.92</v>
      </c>
      <c r="G29">
        <v>7.9</v>
      </c>
      <c r="H29" t="str">
        <v>Residential</v>
      </c>
      <c r="I29">
        <v>43916</v>
      </c>
      <c r="J29">
        <v>44048</v>
      </c>
      <c r="K29" t="str">
        <v>Southampton</v>
      </c>
      <c r="L29">
        <v>45776</v>
      </c>
      <c r="M29">
        <v>44047</v>
      </c>
      <c r="N29" t="str">
        <v/>
      </c>
      <c r="O29" t="str">
        <v>Yes</v>
      </c>
      <c r="P29">
        <v>32.260736</v>
      </c>
      <c r="Q29">
        <v>-64.830029</v>
      </c>
    </row>
    <row r="30" xml:space="preserve">
      <c r="A30" t="str">
        <v>PDP-0274-20</v>
      </c>
      <c r="B30" t="str" xml:space="preserve">
        <v xml:space="preserve">47 Harrington Sound Road_x000d__x000d_
Smiths, BM FL08, Bermuda</v>
      </c>
      <c r="C30" t="str">
        <v>Permitted Development</v>
      </c>
      <c r="D30" t="str">
        <v>Complete</v>
      </c>
      <c r="E30">
        <v>43950</v>
      </c>
      <c r="F30" t="str">
        <v>Roof Mounted Solar PV System 331sqft, 17 Solaria 355W Modules @ 19.47sqft ea., System Capacity: 6.035, Annual Output: 8363h</v>
      </c>
      <c r="G30">
        <v>6.035</v>
      </c>
      <c r="H30" t="str">
        <v>Residential</v>
      </c>
      <c r="I30">
        <v>43916</v>
      </c>
      <c r="J30">
        <v>44039</v>
      </c>
      <c r="K30" t="str">
        <v>Smiths</v>
      </c>
      <c r="L30">
        <v>45776</v>
      </c>
      <c r="M30">
        <v>44039</v>
      </c>
      <c r="N30" t="str">
        <v/>
      </c>
      <c r="O30" t="str">
        <v>Yes</v>
      </c>
      <c r="P30">
        <v>32.3224614</v>
      </c>
      <c r="Q30">
        <v>-64.7214824</v>
      </c>
    </row>
    <row r="31" xml:space="preserve">
      <c r="A31" t="str">
        <v>BR-0208-20</v>
      </c>
      <c r="B31" t="str" xml:space="preserve">
        <v xml:space="preserve">6 Southcote Road_x000d__x000d_
Paget, BM PG04, Bermuda</v>
      </c>
      <c r="C31" t="str">
        <v>Building - Residential</v>
      </c>
      <c r="D31" t="str">
        <v>Complete</v>
      </c>
      <c r="E31">
        <v>43950</v>
      </c>
      <c r="F31" t="str">
        <v>Roof Mounted Solar PV System 454sqft 26 Peimar 315W Modules @ 17.47sqft each.  System Capacity 8.19 Annual Output11343h</v>
      </c>
      <c r="G31">
        <v>8.19</v>
      </c>
      <c r="H31" t="str">
        <v>Building Residential</v>
      </c>
      <c r="I31">
        <v>43923</v>
      </c>
      <c r="J31">
        <v>44011</v>
      </c>
      <c r="K31" t="str">
        <v>Paget</v>
      </c>
      <c r="L31">
        <v>45776</v>
      </c>
      <c r="M31">
        <v>44011</v>
      </c>
      <c r="N31" t="str">
        <v/>
      </c>
      <c r="O31" t="str">
        <v>Yes</v>
      </c>
      <c r="P31">
        <v>32.277112</v>
      </c>
      <c r="Q31">
        <v>-64.781423</v>
      </c>
    </row>
    <row r="32" xml:space="preserve">
      <c r="A32" t="str">
        <v>PDP-0267-20</v>
      </c>
      <c r="B32" t="str" xml:space="preserve">
        <v xml:space="preserve">97 Middle Road_x000d__x000d_
Southampton, BM SN01, Bermuda</v>
      </c>
      <c r="C32" t="str">
        <v>Permitted Development</v>
      </c>
      <c r="D32" t="str">
        <v>Complete</v>
      </c>
      <c r="E32">
        <v>43950</v>
      </c>
      <c r="F32" t="str">
        <v>Roof mounted solar PV system 584sqft, 30x Solaria 355W modules @ 19.46sqft ea., System Capacity: 10.65, Annual Output: 15692h</v>
      </c>
      <c r="G32">
        <v>10.65</v>
      </c>
      <c r="H32" t="str">
        <v>Residential</v>
      </c>
      <c r="I32">
        <v>43903</v>
      </c>
      <c r="J32">
        <v>44046</v>
      </c>
      <c r="K32" t="str">
        <v>Southampton</v>
      </c>
      <c r="L32">
        <v>45776</v>
      </c>
      <c r="M32">
        <v>44041</v>
      </c>
      <c r="N32" t="str">
        <v/>
      </c>
      <c r="O32" t="str">
        <v>Yes</v>
      </c>
      <c r="P32">
        <v>32.2535982</v>
      </c>
      <c r="Q32">
        <v>-64.8536045</v>
      </c>
    </row>
    <row r="33" xml:space="preserve">
      <c r="A33" t="str">
        <v>PDP-0265-20</v>
      </c>
      <c r="B33" t="str" xml:space="preserve">
        <v xml:space="preserve">4 Tranquillity Lane_x000d__x000d_
St. George's, BM DD01, Bermuda</v>
      </c>
      <c r="C33" t="str">
        <v>Permitted Development</v>
      </c>
      <c r="D33" t="str">
        <v>Complete</v>
      </c>
      <c r="E33">
        <v>43955</v>
      </c>
      <c r="F33" t="str" xml:space="preserve">
        <v xml:space="preserve">Roof Mounted Solar PV System - Panasonic 330W Modules = 6.6 Total.  Total Roof Coverage 360.4 sq ft _x000d__x000d_
Main House 12 panels @ 330W = 3.96 _x000d__x000d_
Apartment 8 panels @ 330W = 2.64 </v>
      </c>
      <c r="G33">
        <v>6.6</v>
      </c>
      <c r="H33" t="str">
        <v>Residential</v>
      </c>
      <c r="I33">
        <v>43902</v>
      </c>
      <c r="J33">
        <v>44077</v>
      </c>
      <c r="K33" t="str">
        <v>St. George</v>
      </c>
      <c r="L33">
        <v>45782</v>
      </c>
      <c r="M33">
        <v>44077</v>
      </c>
      <c r="N33" t="str">
        <v/>
      </c>
      <c r="O33" t="str">
        <v>Yes</v>
      </c>
      <c r="P33">
        <v>32.3696418</v>
      </c>
      <c r="Q33">
        <v>-64.6673787</v>
      </c>
    </row>
    <row r="34" xml:space="preserve">
      <c r="A34" t="str">
        <v>PDP-0289-20</v>
      </c>
      <c r="B34" t="str" xml:space="preserve">
        <v xml:space="preserve">25 Camden North Road_x000d__x000d_
Paget, BM DV03, Bermuda</v>
      </c>
      <c r="C34" t="str">
        <v>Permitted Development</v>
      </c>
      <c r="D34" t="str">
        <v>Complete</v>
      </c>
      <c r="E34">
        <v>43955</v>
      </c>
      <c r="F34" t="str">
        <v>Roof Mounted Solar PV System 559sqft, 13 Peimar 315W modules @ 17.46sqft. each, System Capacity : 4.095, Annual Output: 5917h</v>
      </c>
      <c r="G34">
        <v>4.1</v>
      </c>
      <c r="H34" t="str">
        <v>Residential</v>
      </c>
      <c r="I34">
        <v>43944</v>
      </c>
      <c r="J34">
        <v>44077</v>
      </c>
      <c r="K34" t="str">
        <v>Paget</v>
      </c>
      <c r="L34">
        <v>45782</v>
      </c>
      <c r="M34">
        <v>44077</v>
      </c>
      <c r="N34" t="str">
        <v/>
      </c>
      <c r="O34" t="str">
        <v>Yes</v>
      </c>
      <c r="P34">
        <v>32.295916</v>
      </c>
      <c r="Q34">
        <v>-64.761832</v>
      </c>
    </row>
    <row r="35" xml:space="preserve">
      <c r="A35" t="str">
        <v>BR-0198-20</v>
      </c>
      <c r="B35" t="str" xml:space="preserve">
        <v xml:space="preserve">14 Belmont Road_x000d__x000d_
Warwick, BM WK06, Bermuda</v>
      </c>
      <c r="C35" t="str">
        <v>Building - Residential</v>
      </c>
      <c r="D35" t="str">
        <v>Complete</v>
      </c>
      <c r="E35">
        <v>43966</v>
      </c>
      <c r="F35" t="str">
        <v>New Garage, Removal of Greenhouse, New Covered Verandah, Additional / Reconfigured Patios &amp; Site Stairs, Revised Driveway / Parking, Additional Water Tank, Internal Reconfiguration. Solar Panels 30 x 355W. System Capacity 10.65, Annual Output 14,582 h, 584 sq ft. *Revision: Installation of New Emergency Generator. Raise Enclosure Walls to 6'-6" High, Add Wood Gate. Installations of 120 gal. Bulk Gas Cylinder. See Attached Approved Construction Permit and Operating License Issued by the DENR .</v>
      </c>
      <c r="G35">
        <v>10.65</v>
      </c>
      <c r="H35" t="str">
        <v>Building Residential</v>
      </c>
      <c r="I35">
        <v>43895</v>
      </c>
      <c r="J35">
        <v>45177</v>
      </c>
      <c r="K35" t="str">
        <v>Warwick</v>
      </c>
      <c r="L35">
        <v>45792</v>
      </c>
      <c r="M35">
        <v>44386</v>
      </c>
      <c r="N35" t="str">
        <v/>
      </c>
      <c r="O35" t="str">
        <v>Yes</v>
      </c>
      <c r="P35">
        <v>32.274053</v>
      </c>
      <c r="Q35">
        <v>-64.8034768</v>
      </c>
    </row>
    <row r="36" xml:space="preserve">
      <c r="A36" t="str">
        <v>BR-0218-20</v>
      </c>
      <c r="B36" t="str" xml:space="preserve">
        <v xml:space="preserve">4 Bellevue Drive_x000d__x000d_
Paget, BM PG06, Bermuda</v>
      </c>
      <c r="C36" t="str">
        <v>Building - Residential</v>
      </c>
      <c r="D36" t="str">
        <v>Complete</v>
      </c>
      <c r="E36">
        <v>43966</v>
      </c>
      <c r="F36" t="str" xml:space="preserve">
        <v xml:space="preserve">New Ground Mounted Solar Array with Site Grading and Landscaping._x000d__x000d_
140 panels @ 400W/panel; Total 56.0; 3122sq ft.</v>
      </c>
      <c r="G36">
        <v>56</v>
      </c>
      <c r="H36" t="str">
        <v>Building Residential</v>
      </c>
      <c r="I36">
        <v>43950</v>
      </c>
      <c r="J36">
        <v>44518</v>
      </c>
      <c r="K36" t="str">
        <v>Paget</v>
      </c>
      <c r="L36">
        <v>45792</v>
      </c>
      <c r="M36">
        <v>44517</v>
      </c>
      <c r="N36" t="str">
        <v/>
      </c>
      <c r="O36" t="str">
        <v>Yes</v>
      </c>
      <c r="P36">
        <v>32.2857855</v>
      </c>
      <c r="Q36">
        <v>-64.7690394</v>
      </c>
    </row>
    <row r="37" xml:space="preserve">
      <c r="A37" t="str">
        <v>PDP-0148-19</v>
      </c>
      <c r="B37" t="str" xml:space="preserve">
        <v xml:space="preserve">9 East Point Lane_x000d__x000d_
Hamilton, BM FL04, Bermuda</v>
      </c>
      <c r="C37" t="str">
        <v>Permitted Development</v>
      </c>
      <c r="D37" t="str">
        <v>Complete</v>
      </c>
      <c r="E37">
        <v>43966</v>
      </c>
      <c r="F37" t="str" xml:space="preserve">
        <v xml:space="preserve">Rooftop Solar, 27 - 325 W Solar Panels (8.8), Annual Production 12,200 h, Area of Panels 489 Sq. ft._x000d__x000d_
Main Unit 17 panels@325W /panel Total System: 5.5 308 sq ft Annual Output 7.7MWh_x000d__x000d_
West Apt 10 panels@325W /panel Total System: 3.3 181 sq ft Annual Output 4.5MWh</v>
      </c>
      <c r="G37">
        <v>8.8</v>
      </c>
      <c r="H37" t="str">
        <v>Residential</v>
      </c>
      <c r="I37">
        <v>43794</v>
      </c>
      <c r="J37">
        <v>44481</v>
      </c>
      <c r="K37" t="str">
        <v>Hamilton</v>
      </c>
      <c r="L37">
        <v>45792</v>
      </c>
      <c r="M37">
        <v>44480</v>
      </c>
      <c r="N37" t="str">
        <v/>
      </c>
      <c r="O37" t="str">
        <v>Yes</v>
      </c>
      <c r="P37">
        <v>32.3249511</v>
      </c>
      <c r="Q37">
        <v>-64.7410545</v>
      </c>
    </row>
    <row r="38" xml:space="preserve">
      <c r="A38" t="str">
        <v>BR-0207-20</v>
      </c>
      <c r="B38" t="str" xml:space="preserve">
        <v xml:space="preserve">9 Spice Hill Road_x000d__x000d_
Warwick, BM WK03, Bermuda</v>
      </c>
      <c r="C38" t="str">
        <v>Building - Residential</v>
      </c>
      <c r="D38" t="str">
        <v>Complete</v>
      </c>
      <c r="E38">
        <v>43976</v>
      </c>
      <c r="F38" t="str">
        <v>New Master Bedroom with Ancillary Spaces and Addition,  New Pool with Deck &amp; Walls.  New Rebar Entry Porch Steps, Driveway, Cesspit, Water Tank. *Revision: 31 PV Panels @ 310 W each on Roof System Total 9.61  465 sq ft area, Remove Existing Roof and One New Roof Over Entry, Dining Area Low Pitched, Proposed Batoom on Pool Deck, Lower Pool Pump Room, Additional Stairs to Access Pump Room, Storage Under Dining Addition. *Revision: CLOSET TO BE REMOVED FOR LARGER DINING ROOM, CENTER WINDOW IN DINING FOR ONE LARGE DOUBLE WINDOW.</v>
      </c>
      <c r="G38">
        <v>9.61</v>
      </c>
      <c r="H38" t="str">
        <v>Building Residential</v>
      </c>
      <c r="I38">
        <v>43922</v>
      </c>
      <c r="J38">
        <v>44201</v>
      </c>
      <c r="K38" t="str">
        <v>Warwick</v>
      </c>
      <c r="L38">
        <v>45803</v>
      </c>
      <c r="M38">
        <v>44176</v>
      </c>
      <c r="N38" t="str">
        <v/>
      </c>
      <c r="O38" t="str">
        <v>Yes</v>
      </c>
      <c r="P38">
        <v>32.2604984</v>
      </c>
      <c r="Q38">
        <v>-64.8180176</v>
      </c>
    </row>
    <row r="39" xml:space="preserve">
      <c r="A39" t="str">
        <v>PDP-0309-20</v>
      </c>
      <c r="B39" t="str" xml:space="preserve">
        <v xml:space="preserve">41 South Road_x000d__x000d_
Southampton, BM SN01, Bermuda</v>
      </c>
      <c r="C39" t="str">
        <v>Permitted Development</v>
      </c>
      <c r="D39" t="str">
        <v>Complete</v>
      </c>
      <c r="E39">
        <v>43985</v>
      </c>
      <c r="F39" t="str">
        <v>Solar PV System, 22 Solar Panels,  315 watts per solar Panel, 17.96 sq 395.12 sq. ft. Total Watts 6,930.</v>
      </c>
      <c r="G39">
        <v>6.93</v>
      </c>
      <c r="H39" t="str">
        <v>Residential</v>
      </c>
      <c r="I39">
        <v>43969</v>
      </c>
      <c r="J39">
        <v>44026</v>
      </c>
      <c r="K39" t="str">
        <v>Southampton</v>
      </c>
      <c r="L39">
        <v>45811</v>
      </c>
      <c r="M39">
        <v>44020</v>
      </c>
      <c r="N39" t="str">
        <v/>
      </c>
      <c r="O39" t="str">
        <v>Yes</v>
      </c>
      <c r="P39">
        <v>32.248964</v>
      </c>
      <c r="Q39">
        <v>-64.839529</v>
      </c>
    </row>
    <row r="40" xml:space="preserve">
      <c r="A40" t="str">
        <v>PDP-0303-20</v>
      </c>
      <c r="B40" t="str" xml:space="preserve">
        <v xml:space="preserve">48 South Road_x000d__x000d_
Southampton, BM SN01, Bermuda</v>
      </c>
      <c r="C40" t="str">
        <v>Permitted Development</v>
      </c>
      <c r="D40" t="str">
        <v>Complete</v>
      </c>
      <c r="E40">
        <v>43993</v>
      </c>
      <c r="F40" t="str">
        <v>Installation of 14 x 360watt Sun Power Panels on Roof 5.04</v>
      </c>
      <c r="G40">
        <v>5.04</v>
      </c>
      <c r="H40" t="str">
        <v>Residential</v>
      </c>
      <c r="I40">
        <v>43964</v>
      </c>
      <c r="J40">
        <v>44180</v>
      </c>
      <c r="K40" t="str">
        <v>Southampton</v>
      </c>
      <c r="L40">
        <v>45819</v>
      </c>
      <c r="M40">
        <v>44179</v>
      </c>
      <c r="N40" t="str">
        <v/>
      </c>
      <c r="O40" t="str">
        <v>Yes</v>
      </c>
      <c r="P40">
        <v>32.249024</v>
      </c>
      <c r="Q40">
        <v>-64.841185</v>
      </c>
    </row>
    <row r="41" xml:space="preserve">
      <c r="A41" t="str">
        <v>BR-0260-20</v>
      </c>
      <c r="B41" t="str" xml:space="preserve">
        <v xml:space="preserve">10 Harbour Road_x000d__x000d_
Warwick, BM WK04, Bermuda</v>
      </c>
      <c r="C41" t="str">
        <v>Building - Residential</v>
      </c>
      <c r="D41" t="str">
        <v>Complete</v>
      </c>
      <c r="E41">
        <v>44004</v>
      </c>
      <c r="F41" t="str">
        <v>Roof Mounted Solar PV System - 175sf  10x315W Modules System Capacity: 3.15, Annual Output: 4106h</v>
      </c>
      <c r="G41">
        <v>3.15</v>
      </c>
      <c r="H41" t="str">
        <v>Building Residential</v>
      </c>
      <c r="I41">
        <v>44000</v>
      </c>
      <c r="J41">
        <v>44078</v>
      </c>
      <c r="K41" t="str">
        <v>Warwick</v>
      </c>
      <c r="L41">
        <v>45831</v>
      </c>
      <c r="M41">
        <v>44077</v>
      </c>
      <c r="N41" t="str">
        <v/>
      </c>
      <c r="O41" t="str">
        <v>Yes</v>
      </c>
      <c r="P41">
        <v>32.269838</v>
      </c>
      <c r="Q41">
        <v>-64.816052</v>
      </c>
    </row>
    <row r="42" xml:space="preserve">
      <c r="A42" t="str">
        <v>BR-0233-20</v>
      </c>
      <c r="B42" t="str" xml:space="preserve">
        <v xml:space="preserve">10 Upland Lane_x000d__x000d_
Warwick, BM WK10, Bermuda</v>
      </c>
      <c r="C42" t="str">
        <v>Building - Residential</v>
      </c>
      <c r="D42" t="str">
        <v>Complete</v>
      </c>
      <c r="E42">
        <v>44005</v>
      </c>
      <c r="F42" t="str">
        <v>Proposed Garage Roof Mounted Solar PV System (175 sq. ft. Total), 10  Peimar 315 W Modules at 17.46 sq. ft. each, System Capacity 3.15 Annual Output 4545 h.</v>
      </c>
      <c r="G42">
        <v>3.15</v>
      </c>
      <c r="H42" t="str">
        <v>Building Residential</v>
      </c>
      <c r="I42">
        <v>43971</v>
      </c>
      <c r="J42">
        <v>44060</v>
      </c>
      <c r="K42" t="str">
        <v>Warwick</v>
      </c>
      <c r="L42">
        <v>45831</v>
      </c>
      <c r="M42">
        <v>44057</v>
      </c>
      <c r="N42" t="str">
        <v/>
      </c>
      <c r="O42" t="str">
        <v>Yes</v>
      </c>
      <c r="P42">
        <v>32.2688561</v>
      </c>
      <c r="Q42">
        <v>-64.7904782</v>
      </c>
    </row>
    <row r="43" xml:space="preserve">
      <c r="A43" t="str">
        <v>PDP-0349-20</v>
      </c>
      <c r="B43" t="str" xml:space="preserve">
        <v xml:space="preserve">25 Pitts Bay Road_x000d__x000d_
Pembroke, BM HM06, Bermuda</v>
      </c>
      <c r="C43" t="str">
        <v>Permitted Development</v>
      </c>
      <c r="D43" t="str">
        <v>Complete</v>
      </c>
      <c r="E43">
        <v>44007</v>
      </c>
      <c r="F43" t="str">
        <v>roof mounted solar PV system - 402sqft. 23 Peimar 315W modules @ 17.47sqft ea. System Capactity: 7.245, Annual Output: 9570h</v>
      </c>
      <c r="G43">
        <v>7.245</v>
      </c>
      <c r="H43" t="str">
        <v>Residential</v>
      </c>
      <c r="I43">
        <v>44005</v>
      </c>
      <c r="J43">
        <v>44075</v>
      </c>
      <c r="K43" t="str">
        <v>Pembroke</v>
      </c>
      <c r="L43">
        <v>45833</v>
      </c>
      <c r="M43">
        <v>44075</v>
      </c>
      <c r="N43" t="str">
        <v/>
      </c>
      <c r="O43" t="str">
        <v>Yes</v>
      </c>
      <c r="P43">
        <v>32.2965483</v>
      </c>
      <c r="Q43">
        <v>-64.7962481</v>
      </c>
    </row>
    <row r="44" xml:space="preserve">
      <c r="A44" t="str">
        <v>PDP-0311-20</v>
      </c>
      <c r="B44" t="str" xml:space="preserve">
        <v xml:space="preserve">2 Tanglewood Road_x000d__x000d_
Paget, BM PG03, Bermuda</v>
      </c>
      <c r="C44" t="str">
        <v>Permitted Development</v>
      </c>
      <c r="D44" t="str">
        <v>Complete</v>
      </c>
      <c r="E44">
        <v>44007</v>
      </c>
      <c r="F44" t="str" xml:space="preserve">
        <v xml:space="preserve">Proposed solar panels installation. _x000d__x000d_
Main House - 7 panels 360W/17.36 sqft per panel, Total 2.52 Total, 121.52 sq ft_x000d__x000d_
Apartment - 10 panels 360W/17.36 sqft per panel, Total 3.6 Total, 173.6 sq ft</v>
      </c>
      <c r="G44">
        <v>6.12</v>
      </c>
      <c r="H44" t="str">
        <v>Residential</v>
      </c>
      <c r="I44">
        <v>43973</v>
      </c>
      <c r="J44">
        <v>44020</v>
      </c>
      <c r="K44" t="str">
        <v>Paget</v>
      </c>
      <c r="L44">
        <v>45833</v>
      </c>
      <c r="M44">
        <v>44020</v>
      </c>
      <c r="N44" t="str">
        <v/>
      </c>
      <c r="O44" t="str">
        <v>Yes</v>
      </c>
      <c r="P44">
        <v>32.277494</v>
      </c>
      <c r="Q44">
        <v>-64.789474</v>
      </c>
    </row>
    <row r="45" xml:space="preserve">
      <c r="A45" t="str">
        <v>PDP-0362-20</v>
      </c>
      <c r="B45" t="str" xml:space="preserve">
        <v xml:space="preserve">6 Inglewood Lane_x000d__x000d_
Paget, BM PG06, Bermuda</v>
      </c>
      <c r="C45" t="str">
        <v>Permitted Development</v>
      </c>
      <c r="D45" t="str">
        <v>Complete</v>
      </c>
      <c r="E45">
        <v>44018</v>
      </c>
      <c r="F45" t="str">
        <v>Roof mounted solar PV system 428sqft 22x 355W modules, System Capacity: 7.81, Annual Output: 11590h</v>
      </c>
      <c r="G45">
        <v>7.81</v>
      </c>
      <c r="H45" t="str">
        <v>Residential</v>
      </c>
      <c r="I45">
        <v>44012</v>
      </c>
      <c r="J45">
        <v>44133</v>
      </c>
      <c r="K45" t="str">
        <v>Paget</v>
      </c>
      <c r="L45">
        <v>45845</v>
      </c>
      <c r="M45">
        <v>44131</v>
      </c>
      <c r="N45" t="str">
        <v/>
      </c>
      <c r="O45" t="str">
        <v>Yes</v>
      </c>
      <c r="P45">
        <v>32.286448</v>
      </c>
      <c r="Q45">
        <v>-64.767161</v>
      </c>
    </row>
    <row r="46" xml:space="preserve">
      <c r="A46" t="str">
        <v>BR-0283-20</v>
      </c>
      <c r="B46" t="str" xml:space="preserve">
        <v xml:space="preserve">10 North Court Avenue_x000d__x000d_
Pembroke, BM HM04, Bermuda</v>
      </c>
      <c r="C46" t="str">
        <v>Building - Residential</v>
      </c>
      <c r="D46" t="str">
        <v>Complete</v>
      </c>
      <c r="E46">
        <v>44032</v>
      </c>
      <c r="F46" t="str">
        <v>Proposed Roof mounted Solar PV System -332 sq. ft. Total, 19 x Peimar 315 W Modules @17.46 sq. ft. Each System Capacity: 5.985, Annual Output: 8285H.</v>
      </c>
      <c r="G46">
        <v>6</v>
      </c>
      <c r="H46" t="str">
        <v>Building Residential</v>
      </c>
      <c r="I46">
        <v>44012</v>
      </c>
      <c r="J46">
        <v>44046</v>
      </c>
      <c r="K46" t="str">
        <v>Pembroke</v>
      </c>
      <c r="L46">
        <v>45859</v>
      </c>
      <c r="M46">
        <v>44046</v>
      </c>
      <c r="N46" t="str">
        <v/>
      </c>
      <c r="O46" t="str">
        <v>Yes</v>
      </c>
      <c r="P46">
        <v>32.3042559</v>
      </c>
      <c r="Q46">
        <v>-64.7988335</v>
      </c>
    </row>
    <row r="47" xml:space="preserve">
      <c r="A47" t="str">
        <v>BR-0244-20</v>
      </c>
      <c r="B47" t="str" xml:space="preserve">
        <v xml:space="preserve">18 Cambridge Road_x000d__x000d_
Sandys, BM MA02, Bermuda</v>
      </c>
      <c r="C47" t="str">
        <v>Building - Residential</v>
      </c>
      <c r="D47" t="str">
        <v>Complete</v>
      </c>
      <c r="E47">
        <v>44035</v>
      </c>
      <c r="F47" t="str" xml:space="preserve">
        <v xml:space="preserve">Proposed Installation of Roof Mounted Solar Panels to Include 50 Panels at 41.4 in. x 61.4 in. with Output of 18. (Listed Building) _x000d__x000d_
Main House : is 35 Panels x 360 Watts Per Panel = 12.6. Area is 607.6 sq. ft. _x000d__x000d_
Apartment : is 15 Panels x 360 Watts Per Panel = 5.4. Areas is 277.8 sq.ft.</v>
      </c>
      <c r="G47">
        <v>18</v>
      </c>
      <c r="H47" t="str">
        <v>Building Residential</v>
      </c>
      <c r="I47">
        <v>43983</v>
      </c>
      <c r="J47">
        <v>44105</v>
      </c>
      <c r="K47" t="str">
        <v>Sandys</v>
      </c>
      <c r="L47">
        <v>45861</v>
      </c>
      <c r="M47">
        <v>44103</v>
      </c>
      <c r="N47" t="str">
        <v/>
      </c>
      <c r="O47" t="str">
        <v>Yes</v>
      </c>
      <c r="P47">
        <v>32.3059986</v>
      </c>
      <c r="Q47">
        <v>-64.8689317</v>
      </c>
    </row>
    <row r="48" xml:space="preserve">
      <c r="A48" t="str">
        <v>PDP-0365-20</v>
      </c>
      <c r="B48" t="str" xml:space="preserve">
        <v xml:space="preserve">11 Rosemont Avenue_x000d__x000d_
Pembroke, BM HM08, Bermuda</v>
      </c>
      <c r="C48" t="str">
        <v>Permitted Development</v>
      </c>
      <c r="D48" t="str">
        <v>Complete</v>
      </c>
      <c r="E48">
        <v>44035</v>
      </c>
      <c r="F48" t="str">
        <v>Installation of 30 x 360 watt Sun Power panels - 10.8 System.</v>
      </c>
      <c r="G48">
        <v>10.8</v>
      </c>
      <c r="H48" t="str">
        <v>Residential</v>
      </c>
      <c r="I48">
        <v>44013</v>
      </c>
      <c r="J48">
        <v>44119</v>
      </c>
      <c r="K48" t="str">
        <v>Pembroke</v>
      </c>
      <c r="L48">
        <v>45861</v>
      </c>
      <c r="M48">
        <v>44119</v>
      </c>
      <c r="N48" t="str">
        <v/>
      </c>
      <c r="O48" t="str">
        <v>Yes</v>
      </c>
      <c r="P48">
        <v>32.2959526</v>
      </c>
      <c r="Q48">
        <v>-64.7928811</v>
      </c>
    </row>
    <row r="49" xml:space="preserve">
      <c r="A49" t="str">
        <v>PDP-0381-20</v>
      </c>
      <c r="B49" t="str" xml:space="preserve">
        <v xml:space="preserve">41 Tuckers Town Road_x000d__x000d_
St. George's, BM HS02, Bermuda</v>
      </c>
      <c r="C49" t="str">
        <v>Permitted Development</v>
      </c>
      <c r="D49" t="str">
        <v>Complete</v>
      </c>
      <c r="E49">
        <v>44040</v>
      </c>
      <c r="F49" t="str">
        <v>Roof Mounted Solar PV System - 175sqft, 10x 315W Modules, System Capacity: 3.15, Annual Output: 4519h</v>
      </c>
      <c r="G49">
        <v>3.15</v>
      </c>
      <c r="H49" t="str">
        <v>Residential</v>
      </c>
      <c r="I49">
        <v>44029</v>
      </c>
      <c r="J49">
        <v>44076</v>
      </c>
      <c r="K49" t="str">
        <v>St. George</v>
      </c>
      <c r="L49">
        <v>45866</v>
      </c>
      <c r="M49">
        <v>44076</v>
      </c>
      <c r="N49" t="str">
        <v/>
      </c>
      <c r="O49" t="str">
        <v>Yes</v>
      </c>
      <c r="P49">
        <v>32.3336302</v>
      </c>
      <c r="Q49">
        <v>-64.6860786</v>
      </c>
    </row>
    <row r="50" xml:space="preserve">
      <c r="A50" t="str">
        <v>PDP-0389-20</v>
      </c>
      <c r="B50" t="str" xml:space="preserve">
        <v xml:space="preserve">7 Stokes Point Road_x000d__x000d_
St. George's, BM GE01, Bermuda</v>
      </c>
      <c r="C50" t="str">
        <v>Permitted Development</v>
      </c>
      <c r="D50" t="str">
        <v>Complete</v>
      </c>
      <c r="E50">
        <v>44040</v>
      </c>
      <c r="F50" t="str">
        <v>Solar PV System, 315 Watts, 467 Sq. Ft. 26 Solar Panels, 8.19 System.</v>
      </c>
      <c r="G50">
        <v>8.19</v>
      </c>
      <c r="H50" t="str">
        <v>Residential</v>
      </c>
      <c r="I50">
        <v>44036</v>
      </c>
      <c r="J50">
        <v>44134</v>
      </c>
      <c r="K50" t="str">
        <v>St. George</v>
      </c>
      <c r="L50">
        <v>45866</v>
      </c>
      <c r="M50">
        <v>44134</v>
      </c>
      <c r="N50" t="str">
        <v/>
      </c>
      <c r="O50" t="str">
        <v>Yes</v>
      </c>
      <c r="P50">
        <v>32.3733523</v>
      </c>
      <c r="Q50">
        <v>-64.6912591</v>
      </c>
    </row>
    <row r="51" xml:space="preserve">
      <c r="A51" t="str">
        <v>BC-0162-20</v>
      </c>
      <c r="B51" t="str" xml:space="preserve">
        <v xml:space="preserve">46 Front Street_x000d__x000d_
City of Hamilton, BM HM19, Bermuda</v>
      </c>
      <c r="C51" t="str">
        <v>Building - Commercial</v>
      </c>
      <c r="D51" t="str">
        <v>Complete</v>
      </c>
      <c r="E51">
        <v>44048</v>
      </c>
      <c r="F51" t="str">
        <v>Roof Mounted Solar Photovoltaic System, 110 Modules, 330w Total, 36.3 Total, Module Area 18.04, Total Area 1,982</v>
      </c>
      <c r="G51">
        <v>36.3</v>
      </c>
      <c r="H51" t="str">
        <v>Building Commercial</v>
      </c>
      <c r="I51">
        <v>43987</v>
      </c>
      <c r="J51">
        <v>44257</v>
      </c>
      <c r="K51" t="str">
        <v>City of Hamilton</v>
      </c>
      <c r="L51">
        <v>45874</v>
      </c>
      <c r="M51">
        <v>242442</v>
      </c>
      <c r="N51" t="str">
        <v/>
      </c>
      <c r="O51" t="str">
        <v>Yes</v>
      </c>
      <c r="P51">
        <v>32.2922369</v>
      </c>
      <c r="Q51">
        <v>-64.7852386</v>
      </c>
    </row>
    <row r="52" xml:space="preserve">
      <c r="A52" t="str">
        <v>PDP-0395-20</v>
      </c>
      <c r="B52" t="str" xml:space="preserve">
        <v xml:space="preserve">12 Fort George Hill_x000d__x000d_
Town of St. George, BM GE02, Bermuda</v>
      </c>
      <c r="C52" t="str">
        <v>Permitted Development</v>
      </c>
      <c r="D52" t="str">
        <v>Complete</v>
      </c>
      <c r="E52">
        <v>44050</v>
      </c>
      <c r="F52" t="str" xml:space="preserve">
        <v xml:space="preserve">Ground Mount Solar, 54-320 W Panels, (17.28),  Annual Production 16,490 h.  Area of Panels 758.5 sq.ft. *Revision: The Only Change is the Engineering Designs for the Walls the Panels will be Attached to._x000d__x000d_
East House: 27 panels @ 320W/panel; Total Area 379 sqft; Total System 8.64_x000d__x000d_
West House: 27 panels @ 320W/panel; Total Area 379 sqft; Total System 8.64</v>
      </c>
      <c r="G52">
        <v>17.28</v>
      </c>
      <c r="H52" t="str">
        <v>Residential</v>
      </c>
      <c r="I52">
        <v>44040</v>
      </c>
      <c r="J52">
        <v>44580</v>
      </c>
      <c r="K52" t="str">
        <v>Town of St. George</v>
      </c>
      <c r="L52">
        <v>45876</v>
      </c>
      <c r="M52">
        <v>44575</v>
      </c>
      <c r="N52" t="str">
        <v/>
      </c>
      <c r="O52" t="str">
        <v>Yes</v>
      </c>
      <c r="P52">
        <v>32.3798619</v>
      </c>
      <c r="Q52">
        <v>-64.6830048</v>
      </c>
    </row>
    <row r="53" xml:space="preserve">
      <c r="A53" t="str">
        <v>PDP-0397-20</v>
      </c>
      <c r="B53" t="str" xml:space="preserve">
        <v xml:space="preserve">36 Hinson Island_x000d__x000d_
Paget, BM PG01, Bermuda</v>
      </c>
      <c r="C53" t="str">
        <v>Permitted Development</v>
      </c>
      <c r="D53" t="str">
        <v>Complete</v>
      </c>
      <c r="E53">
        <v>44053</v>
      </c>
      <c r="F53" t="str">
        <v>x2 Roof Mounted Solar Systems - 508sqft total #36 West: 13x315W Modules, System Capacity: 4.095, Annual Output: 5679h, 228sqft.  #36 East 16 x315W Modules, System Capacity: 5.04, Annual Output: 7059h, 280sqft.</v>
      </c>
      <c r="G53">
        <v>9.135</v>
      </c>
      <c r="H53" t="str">
        <v>Residential</v>
      </c>
      <c r="I53">
        <v>44049</v>
      </c>
      <c r="J53">
        <v>44110</v>
      </c>
      <c r="K53" t="str">
        <v>Paget</v>
      </c>
      <c r="L53">
        <v>45880</v>
      </c>
      <c r="M53">
        <v>242436</v>
      </c>
      <c r="N53" t="str">
        <v/>
      </c>
      <c r="O53" t="str">
        <v>Yes</v>
      </c>
      <c r="P53">
        <v>32.282623</v>
      </c>
      <c r="Q53">
        <v>-64.800339</v>
      </c>
    </row>
    <row r="54" xml:space="preserve">
      <c r="A54" t="str">
        <v>PDP-0409-20</v>
      </c>
      <c r="B54" t="str" xml:space="preserve">
        <v xml:space="preserve">9 Cavello Heights_x000d__x000d_
Sandys, BM MA05, Bermuda</v>
      </c>
      <c r="C54" t="str">
        <v>Permitted Development</v>
      </c>
      <c r="D54" t="str">
        <v>Complete</v>
      </c>
      <c r="E54">
        <v>44062</v>
      </c>
      <c r="F54" t="str">
        <v>Roof Mounted Solar PV System 350sqft 20x 315W Modules, System Capacity: 6.3, Annual Output: 9083h</v>
      </c>
      <c r="G54">
        <v>6.3</v>
      </c>
      <c r="H54" t="str">
        <v>Residential</v>
      </c>
      <c r="I54">
        <v>44054</v>
      </c>
      <c r="J54">
        <v>44119</v>
      </c>
      <c r="K54" t="str">
        <v>Sandys</v>
      </c>
      <c r="L54">
        <v>45888</v>
      </c>
      <c r="M54">
        <v>44118</v>
      </c>
      <c r="N54" t="str">
        <v/>
      </c>
      <c r="O54" t="str">
        <v>Yes</v>
      </c>
      <c r="P54">
        <v>32.2970438</v>
      </c>
      <c r="Q54">
        <v>-64.8635236</v>
      </c>
    </row>
    <row r="55" xml:space="preserve">
      <c r="A55" t="str">
        <v>PDP-0405-20</v>
      </c>
      <c r="B55" t="str" xml:space="preserve">
        <v xml:space="preserve">41 Hinson Island_x000d__x000d_
Paget, BM PG01, Bermuda</v>
      </c>
      <c r="C55" t="str">
        <v>Permitted Development</v>
      </c>
      <c r="D55" t="str">
        <v>Complete</v>
      </c>
      <c r="E55">
        <v>44062</v>
      </c>
      <c r="F55" t="str">
        <v>Roof Mounted Solar PV System 280sqft - 16 x 315W Modules, System Capacity: 5.04, Annual Output: 6930h</v>
      </c>
      <c r="G55">
        <v>5.04</v>
      </c>
      <c r="H55" t="str">
        <v>Residential</v>
      </c>
      <c r="I55">
        <v>44053</v>
      </c>
      <c r="J55">
        <v>44110</v>
      </c>
      <c r="K55" t="str">
        <v>Paget</v>
      </c>
      <c r="L55">
        <v>45888</v>
      </c>
      <c r="M55">
        <v>242436</v>
      </c>
      <c r="N55" t="str">
        <v/>
      </c>
      <c r="O55" t="str">
        <v>Yes</v>
      </c>
      <c r="P55">
        <v>32.282095</v>
      </c>
      <c r="Q55">
        <v>-64.801389</v>
      </c>
    </row>
    <row r="56" xml:space="preserve">
      <c r="A56" t="str">
        <v>PDP-0424-20</v>
      </c>
      <c r="B56" t="str" xml:space="preserve">
        <v xml:space="preserve">90 White Sands Road_x000d__x000d_
Paget, BM PG06, Bermuda</v>
      </c>
      <c r="C56" t="str">
        <v>Permitted Development</v>
      </c>
      <c r="D56" t="str">
        <v>Complete</v>
      </c>
      <c r="E56">
        <v>44078</v>
      </c>
      <c r="F56" t="str" xml:space="preserve">
        <v xml:space="preserve">Proposed Photovoltaic Solar Array Panels - 12 in Total - 370 Watts Each, 4440 Watts. *Revision: Reduction in Panel Size and Area,  28 sq. ft. Reduction in Solar Panel Size. _x000d__x000d_
12 Panels @ 340W Total 222 sq ft 4.08</v>
      </c>
      <c r="G56">
        <v>4.08</v>
      </c>
      <c r="H56" t="str">
        <v>Residential</v>
      </c>
      <c r="I56">
        <v>44068</v>
      </c>
      <c r="J56">
        <v>44215</v>
      </c>
      <c r="K56" t="str">
        <v>Paget</v>
      </c>
      <c r="L56">
        <v>45904</v>
      </c>
      <c r="M56">
        <v>242541</v>
      </c>
      <c r="N56" t="str">
        <v/>
      </c>
      <c r="O56" t="str">
        <v>Yes</v>
      </c>
      <c r="P56">
        <v>32.2788802</v>
      </c>
      <c r="Q56">
        <v>-64.7703172</v>
      </c>
    </row>
    <row r="57" xml:space="preserve">
      <c r="A57" t="str">
        <v>PDP-0421-20</v>
      </c>
      <c r="B57" t="str" xml:space="preserve">
        <v xml:space="preserve">36 Middle Road_x000d__x000d_
Paget, BM PG03, Bermuda</v>
      </c>
      <c r="C57" t="str">
        <v>Permitted Development</v>
      </c>
      <c r="D57" t="str">
        <v>Complete</v>
      </c>
      <c r="E57">
        <v>44078</v>
      </c>
      <c r="F57" t="str">
        <v>Roof Top Solar, 12 - 320 Watts Panels (3.84), Annual Production 5,159h, Area of Panels 218 sq. ft.</v>
      </c>
      <c r="G57">
        <v>3.84</v>
      </c>
      <c r="H57" t="str">
        <v>Residential</v>
      </c>
      <c r="I57">
        <v>44068</v>
      </c>
      <c r="J57">
        <v>44161</v>
      </c>
      <c r="K57" t="str">
        <v>Paget</v>
      </c>
      <c r="L57">
        <v>45904</v>
      </c>
      <c r="M57">
        <v>44161</v>
      </c>
      <c r="N57" t="str">
        <v/>
      </c>
      <c r="O57" t="str">
        <v>Yes</v>
      </c>
      <c r="P57">
        <v>32.280149</v>
      </c>
      <c r="Q57">
        <v>-64.783894</v>
      </c>
    </row>
    <row r="58" xml:space="preserve">
      <c r="A58" t="str">
        <v>PDP-0431-20</v>
      </c>
      <c r="B58" t="str" xml:space="preserve">
        <v xml:space="preserve">2 Coral Hill Lane_x000d__x000d_
Warwick, BM WK10, Bermuda</v>
      </c>
      <c r="C58" t="str">
        <v>Permitted Development</v>
      </c>
      <c r="D58" t="str">
        <v>Complete</v>
      </c>
      <c r="E58">
        <v>44097</v>
      </c>
      <c r="F58" t="str">
        <v>Solar PV System, 315 watts, 431 Square feet, 24 Solar Panels, 7.56 System.</v>
      </c>
      <c r="G58">
        <v>7.56</v>
      </c>
      <c r="H58" t="str">
        <v>Residential</v>
      </c>
      <c r="I58">
        <v>44075</v>
      </c>
      <c r="J58">
        <v>44167</v>
      </c>
      <c r="K58" t="str">
        <v>Warwick</v>
      </c>
      <c r="L58">
        <v>45923</v>
      </c>
      <c r="M58">
        <v>44144</v>
      </c>
      <c r="N58" t="str">
        <v/>
      </c>
      <c r="O58" t="str">
        <v>Yes</v>
      </c>
      <c r="P58">
        <v>32.271906</v>
      </c>
      <c r="Q58">
        <v>-64.789187</v>
      </c>
    </row>
    <row r="59" xml:space="preserve">
      <c r="A59" t="str">
        <v>PDP-0430-20</v>
      </c>
      <c r="B59" t="str" xml:space="preserve">
        <v xml:space="preserve">57 St. David's Road_x000d__x000d_
St. George's, BM DD01, Bermuda</v>
      </c>
      <c r="C59" t="str">
        <v>Permitted Development</v>
      </c>
      <c r="D59" t="str">
        <v>Complete</v>
      </c>
      <c r="E59">
        <v>44102</v>
      </c>
      <c r="F59" t="str">
        <v>Roof \Mounted Solar PV System 245sqft - 14 x 315W Modules, System Capacity: 4.41, Annual Output: 5972h.</v>
      </c>
      <c r="G59">
        <v>4.41</v>
      </c>
      <c r="H59" t="str">
        <v>Residential</v>
      </c>
      <c r="I59">
        <v>44075</v>
      </c>
      <c r="J59">
        <v>44148</v>
      </c>
      <c r="K59" t="str">
        <v>St. George</v>
      </c>
      <c r="L59">
        <v>45929</v>
      </c>
      <c r="M59">
        <v>44148</v>
      </c>
      <c r="N59" t="str">
        <v/>
      </c>
      <c r="O59" t="str">
        <v>Yes</v>
      </c>
      <c r="P59">
        <v>32.3657366</v>
      </c>
      <c r="Q59">
        <v>-64.6634534</v>
      </c>
    </row>
    <row r="60" xml:space="preserve">
      <c r="A60" t="str">
        <v>PDP-0446-20</v>
      </c>
      <c r="B60" t="str" xml:space="preserve">
        <v xml:space="preserve">15 Turk's Head Lane_x000d__x000d_
Devonshire, BM DV07, Bermuda</v>
      </c>
      <c r="C60" t="str">
        <v>Permitted Development</v>
      </c>
      <c r="D60" t="str">
        <v>Complete</v>
      </c>
      <c r="E60">
        <v>44102</v>
      </c>
      <c r="F60" t="str">
        <v>Roof Mounted Solar PV System 297sqft 17x315W Modules, System Capacity: 3.8, Annual Output: 5757h</v>
      </c>
      <c r="G60">
        <v>3.8</v>
      </c>
      <c r="H60" t="str">
        <v>Residential</v>
      </c>
      <c r="I60">
        <v>44084</v>
      </c>
      <c r="J60">
        <v>44154</v>
      </c>
      <c r="K60" t="str">
        <v>Devonshire</v>
      </c>
      <c r="L60">
        <v>45929</v>
      </c>
      <c r="M60">
        <v>44154</v>
      </c>
      <c r="N60" t="str">
        <v/>
      </c>
      <c r="O60" t="str">
        <v>Yes</v>
      </c>
      <c r="P60">
        <v>32.2978371</v>
      </c>
      <c r="Q60">
        <v>-64.75516</v>
      </c>
    </row>
    <row r="61" xml:space="preserve">
      <c r="A61" t="str">
        <v>PDP-0443-20</v>
      </c>
      <c r="B61" t="str" xml:space="preserve">
        <v xml:space="preserve">1 Salt Spray Lane_x000d__x000d_
St. George's, BM GE04, Bermuda</v>
      </c>
      <c r="C61" t="str">
        <v>Permitted Development</v>
      </c>
      <c r="D61" t="str">
        <v>Complete</v>
      </c>
      <c r="E61">
        <v>44102</v>
      </c>
      <c r="F61" t="str">
        <v>Roof Mounted Solar PV System 210sqft 12x315W Modules, System Capacity: 3.78, Annual Output: 5421h.</v>
      </c>
      <c r="G61">
        <v>3.78</v>
      </c>
      <c r="H61" t="str">
        <v>Residential</v>
      </c>
      <c r="I61">
        <v>44084</v>
      </c>
      <c r="J61">
        <v>44148</v>
      </c>
      <c r="K61" t="str">
        <v>St. George</v>
      </c>
      <c r="L61">
        <v>45929</v>
      </c>
      <c r="M61">
        <v>44148</v>
      </c>
      <c r="N61" t="str">
        <v/>
      </c>
      <c r="O61" t="str">
        <v>Yes</v>
      </c>
      <c r="P61">
        <v>32.3815816</v>
      </c>
      <c r="Q61">
        <v>-64.6669837</v>
      </c>
    </row>
    <row r="62" xml:space="preserve">
      <c r="A62" t="str">
        <v>PDP-0427-20</v>
      </c>
      <c r="B62" t="str" xml:space="preserve">
        <v xml:space="preserve">6 Glebe Hill_x000d__x000d_
Hamilton, BM HS02, Bermuda</v>
      </c>
      <c r="C62" t="str">
        <v>Permitted Development</v>
      </c>
      <c r="D62" t="str">
        <v>Complete</v>
      </c>
      <c r="E62">
        <v>44102</v>
      </c>
      <c r="F62" t="str">
        <v>Roof Mounted Solar PV System 262sqft, 15 x 315W Modules System Capacity: 4.725, Annual Output: 6253h</v>
      </c>
      <c r="G62">
        <v>4.7</v>
      </c>
      <c r="H62" t="str">
        <v>Residential</v>
      </c>
      <c r="I62">
        <v>44070</v>
      </c>
      <c r="J62">
        <v>44132</v>
      </c>
      <c r="K62" t="str">
        <v>Hamilton</v>
      </c>
      <c r="L62">
        <v>45929</v>
      </c>
      <c r="M62">
        <v>44131</v>
      </c>
      <c r="N62" t="str">
        <v/>
      </c>
      <c r="O62" t="str">
        <v>Yes</v>
      </c>
      <c r="P62">
        <v>32.3328226</v>
      </c>
      <c r="Q62">
        <v>-64.7026464</v>
      </c>
    </row>
    <row r="63" xml:space="preserve">
      <c r="A63" t="str">
        <v>PDP-0453-20</v>
      </c>
      <c r="B63" t="str" xml:space="preserve">
        <v xml:space="preserve">10 Agar's Hill_x000d__x000d_
Pembroke, BM HM05, Bermuda</v>
      </c>
      <c r="C63" t="str">
        <v>Permitted Development</v>
      </c>
      <c r="D63" t="str">
        <v>Complete</v>
      </c>
      <c r="E63">
        <v>44102</v>
      </c>
      <c r="F63" t="str">
        <v>Roof Mounted Solar PV System 367sqft - 21 x 315W Modules, System Capacity: 6.615, Annual Output: 8790h</v>
      </c>
      <c r="G63">
        <v>6.6</v>
      </c>
      <c r="H63" t="str">
        <v>Residential</v>
      </c>
      <c r="I63">
        <v>44091</v>
      </c>
      <c r="J63">
        <v>44140</v>
      </c>
      <c r="K63" t="str">
        <v>Pembroke</v>
      </c>
      <c r="L63">
        <v>45929</v>
      </c>
      <c r="M63">
        <v>44139</v>
      </c>
      <c r="N63" t="str">
        <v/>
      </c>
      <c r="O63" t="str">
        <v>Yes</v>
      </c>
      <c r="P63">
        <v>32.2941588</v>
      </c>
      <c r="Q63">
        <v>-64.8053915</v>
      </c>
    </row>
    <row r="64" xml:space="preserve">
      <c r="A64" t="str">
        <v>BR-0322-20</v>
      </c>
      <c r="B64" t="str" xml:space="preserve">
        <v xml:space="preserve">3 Woodbourne Crescent_x000d__x000d_
Pembroke, BM HM08, Bermuda</v>
      </c>
      <c r="C64" t="str">
        <v>Building - Residential</v>
      </c>
      <c r="D64" t="str">
        <v>Complete</v>
      </c>
      <c r="E64">
        <v>44102</v>
      </c>
      <c r="F64" t="str">
        <v>14 Solar PV Roof Panels @ 340W (260 sq. ft., 4.76  Capacity),  Lower Floor Interior Renovations to Create 1 Bedroom Unit for Air B&amp;B (Tourism Accommodations) and Cesspit.</v>
      </c>
      <c r="G64">
        <v>4.76</v>
      </c>
      <c r="H64" t="str">
        <v>Building Residential</v>
      </c>
      <c r="I64">
        <v>44054</v>
      </c>
      <c r="J64">
        <v>44789</v>
      </c>
      <c r="K64" t="str">
        <v>Pembroke</v>
      </c>
      <c r="L64">
        <v>45929</v>
      </c>
      <c r="M64">
        <v>242505</v>
      </c>
      <c r="N64" t="str">
        <v/>
      </c>
      <c r="O64" t="str">
        <v>Yes</v>
      </c>
      <c r="P64">
        <v>32.2936196</v>
      </c>
      <c r="Q64">
        <v>-64.790057</v>
      </c>
    </row>
    <row r="65" xml:space="preserve">
      <c r="A65" t="str">
        <v>PDP-0452-20</v>
      </c>
      <c r="B65" t="str" xml:space="preserve">
        <v xml:space="preserve">18 Church Road_x000d__x000d_
Southampton, BM SN01, Bermuda</v>
      </c>
      <c r="C65" t="str">
        <v>Permitted Development</v>
      </c>
      <c r="D65" t="str">
        <v>Complete</v>
      </c>
      <c r="E65">
        <v>44102</v>
      </c>
      <c r="F65" t="str" xml:space="preserve">
        <v xml:space="preserve">Main House: 20 x 315W Modules, System Capacity: 6.3, Annual Output: 79135h, 350sqft._x000d__x000d_
 Cottage: 13x315W Modules, System Capacity: 4.095, Annual Output: 5040h, 228sqft x2 Roof Mounted Solar Systems - 578sqft Total._x000d__x000d_
Revision 1: Two (2) roof mounted solar PV systems _x000d__x000d_
Main: 21 x 340W modules System Capacity: 7.14 389sqft_x000d__x000d_
Cottage: 13 x 340W modules System Capacity: 4.42 241sqft</v>
      </c>
      <c r="G65">
        <v>11.56</v>
      </c>
      <c r="H65" t="str">
        <v>Residential</v>
      </c>
      <c r="I65">
        <v>44090</v>
      </c>
      <c r="J65">
        <v>44719</v>
      </c>
      <c r="K65" t="str">
        <v>Southampton</v>
      </c>
      <c r="L65">
        <v>45929</v>
      </c>
      <c r="M65">
        <v>44715</v>
      </c>
      <c r="N65" t="str">
        <v/>
      </c>
      <c r="O65" t="str">
        <v>Yes</v>
      </c>
      <c r="P65">
        <v>32.2510247</v>
      </c>
      <c r="Q65">
        <v>-64.8460776</v>
      </c>
    </row>
    <row r="66" xml:space="preserve">
      <c r="A66" t="str">
        <v>PDP-0264-20</v>
      </c>
      <c r="B66" t="str" xml:space="preserve">
        <v xml:space="preserve">6 Riviera Road_x000d__x000d_
Southampton, BM SN03, Bermuda</v>
      </c>
      <c r="C66" t="str">
        <v>Permitted Development</v>
      </c>
      <c r="D66" t="str">
        <v>Complete</v>
      </c>
      <c r="E66">
        <v>44111</v>
      </c>
      <c r="F66" t="str">
        <v>Roof mounted solar PV system 604sqft, 31x Solaria 355W modules @ 19.46sqft ea., System Capacity: 11.01, Annual Output: 14500h.</v>
      </c>
      <c r="G66">
        <v>11.01</v>
      </c>
      <c r="H66" t="str">
        <v>Residential</v>
      </c>
      <c r="I66">
        <v>43901</v>
      </c>
      <c r="J66">
        <v>44160</v>
      </c>
      <c r="K66" t="str">
        <v>Southampton</v>
      </c>
      <c r="L66">
        <v>45937</v>
      </c>
      <c r="M66">
        <v>44159</v>
      </c>
      <c r="N66" t="str">
        <v/>
      </c>
      <c r="O66" t="str">
        <v>Yes</v>
      </c>
      <c r="P66">
        <v>32.2576203</v>
      </c>
      <c r="Q66">
        <v>-64.8273125</v>
      </c>
    </row>
    <row r="67" xml:space="preserve">
      <c r="A67" t="str">
        <v>PDP-0502-20</v>
      </c>
      <c r="B67" t="str" xml:space="preserve">
        <v xml:space="preserve">15 Berry Hill Road_x000d__x000d_
Paget, BM DV03, Bermuda</v>
      </c>
      <c r="C67" t="str">
        <v>Permitted Development</v>
      </c>
      <c r="D67" t="str">
        <v>Complete</v>
      </c>
      <c r="E67">
        <v>44120</v>
      </c>
      <c r="F67" t="str">
        <v>Roof Mount Solar, 24-320 W Panels, (7.68), Annual Production 10,098.7h, Area of Panels 218.2 Sq. ft.</v>
      </c>
      <c r="G67">
        <v>7.68</v>
      </c>
      <c r="H67" t="str">
        <v>Residential</v>
      </c>
      <c r="I67">
        <v>44116</v>
      </c>
      <c r="J67">
        <v>44211</v>
      </c>
      <c r="K67" t="str">
        <v>Paget</v>
      </c>
      <c r="L67">
        <v>45946</v>
      </c>
      <c r="M67">
        <v>44210</v>
      </c>
      <c r="N67" t="str">
        <v/>
      </c>
      <c r="O67" t="str">
        <v>Yes</v>
      </c>
      <c r="P67">
        <v>32.2939551</v>
      </c>
      <c r="Q67">
        <v>-64.7682289</v>
      </c>
    </row>
    <row r="68" xml:space="preserve">
      <c r="A68" t="str">
        <v>PDP-0507-20</v>
      </c>
      <c r="B68" t="str" xml:space="preserve">
        <v xml:space="preserve">1 Speakers Drive_x000d__x000d_
St. George's, BM GE02, Bermuda</v>
      </c>
      <c r="C68" t="str">
        <v>Permitted Development</v>
      </c>
      <c r="D68" t="str">
        <v>Complete</v>
      </c>
      <c r="E68">
        <v>44127</v>
      </c>
      <c r="F68" t="str">
        <v>Roof Mounted Solar PV System - 212sf, 6x265W,6x270W Modules, System Capacity: 3.21, Annual Output: 3678h.</v>
      </c>
      <c r="G68">
        <v>3.21</v>
      </c>
      <c r="H68" t="str">
        <v>Residential</v>
      </c>
      <c r="I68">
        <v>44120</v>
      </c>
      <c r="J68">
        <v>44264</v>
      </c>
      <c r="K68" t="str">
        <v>St. George</v>
      </c>
      <c r="L68">
        <v>45953</v>
      </c>
      <c r="M68">
        <v>44244</v>
      </c>
      <c r="N68" t="str">
        <v/>
      </c>
      <c r="O68" t="str">
        <v>Yes</v>
      </c>
      <c r="P68">
        <v>32.3778111</v>
      </c>
      <c r="Q68">
        <v>-64.6851087</v>
      </c>
    </row>
    <row r="69" xml:space="preserve">
      <c r="A69" t="str">
        <v>PDP-0477-20</v>
      </c>
      <c r="B69" t="str" xml:space="preserve">
        <v xml:space="preserve">40 Tribe Road No 2 Unit: A_x000d__x000d_
Warwick, BM WK09, Bermuda</v>
      </c>
      <c r="C69" t="str">
        <v>Permitted Development</v>
      </c>
      <c r="D69" t="str">
        <v>Complete</v>
      </c>
      <c r="E69">
        <v>44127</v>
      </c>
      <c r="F69" t="str">
        <v>Solar PV System, 315 Watts, 502.1 Sq. Ft., 28 Solar Panels, 8.82 System.</v>
      </c>
      <c r="G69">
        <v>8.82</v>
      </c>
      <c r="H69" t="str">
        <v>Residential</v>
      </c>
      <c r="I69">
        <v>44104</v>
      </c>
      <c r="J69">
        <v>44165</v>
      </c>
      <c r="K69" t="str">
        <v>Warwick</v>
      </c>
      <c r="L69">
        <v>45953</v>
      </c>
      <c r="M69">
        <v>44165</v>
      </c>
      <c r="N69" t="str">
        <v/>
      </c>
      <c r="O69" t="str">
        <v>Yes</v>
      </c>
      <c r="P69">
        <v>32.2719551</v>
      </c>
      <c r="Q69">
        <v>-64.7948178</v>
      </c>
    </row>
    <row r="70" xml:space="preserve">
      <c r="A70" t="str">
        <v>BR-0359-20</v>
      </c>
      <c r="B70" t="str" xml:space="preserve">
        <v xml:space="preserve">6 Old Slip Lane_x000d__x000d_
Pembroke, BM HM06, Bermuda</v>
      </c>
      <c r="C70" t="str">
        <v>Building - Residential</v>
      </c>
      <c r="D70" t="str">
        <v>Complete</v>
      </c>
      <c r="E70">
        <v>44130</v>
      </c>
      <c r="F70" t="str">
        <v>Proposed Ground Mounted Solar PV System 606 sq. ft. 27 x 355 Modules, System Capacity :9.585 Annual Output : 13239 h.</v>
      </c>
      <c r="G70">
        <v>9.585</v>
      </c>
      <c r="H70" t="str">
        <v>Building Residential</v>
      </c>
      <c r="I70">
        <v>44112</v>
      </c>
      <c r="J70">
        <v>44202</v>
      </c>
      <c r="K70" t="str">
        <v>Pembroke</v>
      </c>
      <c r="L70">
        <v>45957</v>
      </c>
      <c r="M70">
        <v>44188</v>
      </c>
      <c r="N70" t="str">
        <v/>
      </c>
      <c r="O70" t="str">
        <v>Yes</v>
      </c>
      <c r="P70">
        <v>32.2911702</v>
      </c>
      <c r="Q70">
        <v>-64.795966</v>
      </c>
    </row>
    <row r="71" xml:space="preserve">
      <c r="A71" t="str">
        <v>BC-0067-19</v>
      </c>
      <c r="B71" t="str" xml:space="preserve">
        <v xml:space="preserve">1 The Lane_x000d__x000d_
Paget, BM PG05, Bermuda</v>
      </c>
      <c r="C71" t="str">
        <v>Building - Commercial</v>
      </c>
      <c r="D71" t="str">
        <v>Under Construction</v>
      </c>
      <c r="E71">
        <v>44137</v>
      </c>
      <c r="F71" t="str">
        <v>Proposed New Doctors Offices &amp; Additional Parking *Revision 1: Proposed Roof Mounted Solar Panels 74, 21 sq. ft. Panels (1,554 sq. ft.); 430 W per panel - 41,228hs energy/yr system output;  31.82 DC output ; 26.41 AC output, Ground Mounted 'Solar Flower' 15'9" Max. Height (Listed Building) (planning permission P0037-24) Building only revision*</v>
      </c>
      <c r="G71">
        <v>26.41</v>
      </c>
      <c r="H71" t="str">
        <v>Building Commercial</v>
      </c>
      <c r="I71">
        <v>43776</v>
      </c>
      <c r="J71" t="str">
        <v/>
      </c>
      <c r="K71" t="str">
        <v>Paget</v>
      </c>
      <c r="L71">
        <v>45964</v>
      </c>
      <c r="M71">
        <v>45839</v>
      </c>
      <c r="N71" t="str">
        <v/>
      </c>
      <c r="O71" t="str">
        <v>Yes</v>
      </c>
      <c r="P71">
        <v>32.290426</v>
      </c>
      <c r="Q71">
        <v>-64.772063</v>
      </c>
    </row>
    <row r="72" xml:space="preserve">
      <c r="A72" t="str">
        <v>BC-0217-20</v>
      </c>
      <c r="B72" t="str" xml:space="preserve">
        <v xml:space="preserve">18 Point Finger Road_x000d__x000d_
Paget, BM DV04, Bermuda</v>
      </c>
      <c r="C72" t="str">
        <v>Building - Commercial</v>
      </c>
      <c r="D72" t="str">
        <v>Complete</v>
      </c>
      <c r="E72">
        <v>44138</v>
      </c>
      <c r="F72" t="str">
        <v>Roof Mounted Solar PV System - 1,206 sq. ft., 69 x 315 W Modules, System Capacity 21.735</v>
      </c>
      <c r="G72">
        <v>21.735</v>
      </c>
      <c r="H72" t="str">
        <v>Building Commercial</v>
      </c>
      <c r="I72">
        <v>44111</v>
      </c>
      <c r="J72">
        <v>44166</v>
      </c>
      <c r="K72" t="str">
        <v>Paget</v>
      </c>
      <c r="L72">
        <v>45964</v>
      </c>
      <c r="M72">
        <v>242485</v>
      </c>
      <c r="N72" t="str">
        <v/>
      </c>
      <c r="O72" t="str">
        <v>Yes</v>
      </c>
      <c r="P72">
        <v>32.291779</v>
      </c>
      <c r="Q72">
        <v>-64.767231</v>
      </c>
    </row>
    <row r="73" xml:space="preserve">
      <c r="A73" t="str">
        <v>BC-0179-20</v>
      </c>
      <c r="B73" t="str" xml:space="preserve">
        <v xml:space="preserve">26 Bermudiana Road_x000d__x000d_
City of Hamilton, BM HM11, Bermuda</v>
      </c>
      <c r="C73" t="str">
        <v>Building - Commercial</v>
      </c>
      <c r="D73" t="str">
        <v>Complete</v>
      </c>
      <c r="E73">
        <v>44152</v>
      </c>
      <c r="F73" t="str">
        <v>Proposed Installation of PV Solar Panels on Roof. (180 Panels, 3,265.83sq.ft, 360W/panel; Total System 64.8; Annual Output 75,564 h)</v>
      </c>
      <c r="G73">
        <v>64.8</v>
      </c>
      <c r="H73" t="str">
        <v>Building Commercial</v>
      </c>
      <c r="I73">
        <v>44027</v>
      </c>
      <c r="J73">
        <v>44337</v>
      </c>
      <c r="K73" t="str">
        <v>City of Hamilton</v>
      </c>
      <c r="L73">
        <v>45978</v>
      </c>
      <c r="M73">
        <v>242527</v>
      </c>
      <c r="N73" t="str">
        <v/>
      </c>
      <c r="O73" t="str">
        <v>Yes</v>
      </c>
      <c r="P73">
        <v>32.292488</v>
      </c>
      <c r="Q73">
        <v>-64.7874752</v>
      </c>
    </row>
    <row r="74" xml:space="preserve">
      <c r="A74" t="str">
        <v>PDP-0558-20</v>
      </c>
      <c r="B74" t="str" xml:space="preserve">
        <v xml:space="preserve">53 South Road_x000d__x000d_
Warwick, BM SN01, Bermuda</v>
      </c>
      <c r="C74" t="str">
        <v>Permitted Development</v>
      </c>
      <c r="D74" t="str">
        <v>Complete</v>
      </c>
      <c r="E74">
        <v>44158</v>
      </c>
      <c r="F74" t="str">
        <v>Roof Mounted Solar PV System 372sqft - 20x34oW Modules, System Capacity: 6.80, Annual Output: 9095h</v>
      </c>
      <c r="G74">
        <v>6.8</v>
      </c>
      <c r="H74" t="str">
        <v>Residential</v>
      </c>
      <c r="I74">
        <v>44153</v>
      </c>
      <c r="J74">
        <v>44307</v>
      </c>
      <c r="K74" t="str">
        <v>Warwick</v>
      </c>
      <c r="L74">
        <v>45985</v>
      </c>
      <c r="M74">
        <v>44307</v>
      </c>
      <c r="N74" t="str">
        <v/>
      </c>
      <c r="O74" t="str">
        <v>Yes</v>
      </c>
      <c r="P74">
        <v>32.249392</v>
      </c>
      <c r="Q74">
        <v>-64.844169</v>
      </c>
    </row>
    <row r="75" xml:space="preserve">
      <c r="A75" t="str">
        <v>PDP-0511-20</v>
      </c>
      <c r="B75" t="str" xml:space="preserve">
        <v xml:space="preserve">6 Upland Close_x000d__x000d_
Devonshire, BM DV06, Bermuda</v>
      </c>
      <c r="C75" t="str">
        <v>Permitted Development</v>
      </c>
      <c r="D75" t="str">
        <v>Complete</v>
      </c>
      <c r="E75">
        <v>44158</v>
      </c>
      <c r="F75" t="str">
        <v>Roof Mounted Solar PV System - 186sqft 10x340W Modules System Capacity: 3.4, Annual Output: 4345h</v>
      </c>
      <c r="G75">
        <v>3.4</v>
      </c>
      <c r="H75" t="str">
        <v>Residential</v>
      </c>
      <c r="I75">
        <v>44130</v>
      </c>
      <c r="J75">
        <v>44221</v>
      </c>
      <c r="K75" t="str">
        <v>Devonshire</v>
      </c>
      <c r="L75">
        <v>45985</v>
      </c>
      <c r="M75">
        <v>242541</v>
      </c>
      <c r="N75" t="str">
        <v/>
      </c>
      <c r="O75" t="str">
        <v>Yes</v>
      </c>
      <c r="P75">
        <v>32.3060828</v>
      </c>
      <c r="Q75">
        <v>-64.7520697</v>
      </c>
    </row>
    <row r="76" xml:space="preserve">
      <c r="A76" t="str">
        <v>PDP-0517-20</v>
      </c>
      <c r="B76" t="str" xml:space="preserve">
        <v xml:space="preserve">9 Point Shares Road_x000d__x000d_
Pembroke, BM HM06, Bermuda</v>
      </c>
      <c r="C76" t="str">
        <v>Permitted Development</v>
      </c>
      <c r="D76" t="str">
        <v>Complete</v>
      </c>
      <c r="E76">
        <v>44174</v>
      </c>
      <c r="F76" t="str">
        <v>Roof Mounted Solar PV System - 175sqft 9x360W Modules System Capacity: 3.24, Annual Output: 4496h</v>
      </c>
      <c r="G76">
        <v>3.24</v>
      </c>
      <c r="H76" t="str">
        <v>Residential</v>
      </c>
      <c r="I76">
        <v>44130</v>
      </c>
      <c r="J76">
        <v>44243</v>
      </c>
      <c r="K76" t="str">
        <v>Pembroke</v>
      </c>
      <c r="L76">
        <v>46000</v>
      </c>
      <c r="M76">
        <v>242533</v>
      </c>
      <c r="N76" t="str">
        <v/>
      </c>
      <c r="O76" t="str">
        <v>Yes</v>
      </c>
      <c r="P76">
        <v>32.2953502</v>
      </c>
      <c r="Q76">
        <v>-64.8027044</v>
      </c>
    </row>
    <row r="77" xml:space="preserve">
      <c r="A77" t="str">
        <v>PDP-0594-20</v>
      </c>
      <c r="B77" t="str" xml:space="preserve">
        <v xml:space="preserve">32 Harrington Hundreds Road_x000d__x000d_
Smiths, BM FL06, Bermuda</v>
      </c>
      <c r="C77" t="str">
        <v>Permitted Development</v>
      </c>
      <c r="D77" t="str">
        <v>Complete</v>
      </c>
      <c r="E77">
        <v>44182</v>
      </c>
      <c r="F77" t="str">
        <v>Wall Mounted Battery System - 10h, Roof Mounted Solar PV System 446sqft - 24x340W Modules System Capacity: 8.16, Annual Output: 11418h</v>
      </c>
      <c r="G77">
        <v>8.16</v>
      </c>
      <c r="H77" t="str">
        <v>Residential</v>
      </c>
      <c r="I77">
        <v>44175</v>
      </c>
      <c r="J77">
        <v>44285</v>
      </c>
      <c r="K77" t="str">
        <v>Smiths</v>
      </c>
      <c r="L77">
        <v>46008</v>
      </c>
      <c r="M77">
        <v>44284</v>
      </c>
      <c r="N77" t="str">
        <v>Donna Francis</v>
      </c>
      <c r="O77" t="str">
        <v>Yes</v>
      </c>
      <c r="P77">
        <v>32.318016</v>
      </c>
      <c r="Q77">
        <v>-64.724186</v>
      </c>
    </row>
    <row r="78" xml:space="preserve">
      <c r="A78" t="str">
        <v>PDP-0516-20</v>
      </c>
      <c r="B78" t="str" xml:space="preserve">
        <v xml:space="preserve">8 Woodstock Hill_x000d__x000d_
Paget, BM PG06, Bermuda</v>
      </c>
      <c r="C78" t="str">
        <v>Permitted Development</v>
      </c>
      <c r="D78" t="str">
        <v>Complete</v>
      </c>
      <c r="E78">
        <v>44204</v>
      </c>
      <c r="F78" t="str">
        <v>Installation of 20 x 360watt Sun Power Solar Panels on Roof - 7.2.  8,884hs per Year.</v>
      </c>
      <c r="G78">
        <v>7.2</v>
      </c>
      <c r="H78" t="str">
        <v>Residential</v>
      </c>
      <c r="I78">
        <v>44130</v>
      </c>
      <c r="J78">
        <v>44284</v>
      </c>
      <c r="K78" t="str">
        <v>Paget</v>
      </c>
      <c r="L78">
        <v>46030</v>
      </c>
      <c r="M78">
        <v>242540</v>
      </c>
      <c r="N78" t="str">
        <v/>
      </c>
      <c r="O78" t="str">
        <v>Yes</v>
      </c>
      <c r="P78">
        <v>32.286299</v>
      </c>
      <c r="Q78">
        <v>-64.764576</v>
      </c>
    </row>
    <row r="79" xml:space="preserve">
      <c r="A79" t="str">
        <v>B0008-21</v>
      </c>
      <c r="B79" t="str" xml:space="preserve">
        <v xml:space="preserve">30 Tanglewood Road_x000d__x000d_
Paget, BM PG03, Bermuda</v>
      </c>
      <c r="C79" t="str">
        <v>Permitted Development</v>
      </c>
      <c r="D79" t="str">
        <v>Complete</v>
      </c>
      <c r="E79">
        <v>44204</v>
      </c>
      <c r="F79" t="str">
        <v>Roof Mounted Solar PV System - 186sqft, 10x340W Modules, System Capacity: 3.4, Annual Output: 4090h</v>
      </c>
      <c r="G79">
        <v>3.4</v>
      </c>
      <c r="H79" t="str">
        <v>Residential</v>
      </c>
      <c r="I79">
        <v>44204</v>
      </c>
      <c r="J79">
        <v>44321</v>
      </c>
      <c r="K79" t="str">
        <v>Paget</v>
      </c>
      <c r="L79">
        <v>46030</v>
      </c>
      <c r="M79">
        <v>44321</v>
      </c>
      <c r="N79" t="str">
        <v/>
      </c>
      <c r="O79" t="str">
        <v>Yes</v>
      </c>
      <c r="P79">
        <v>32.276417</v>
      </c>
      <c r="Q79">
        <v>-64.788316</v>
      </c>
    </row>
    <row r="80" xml:space="preserve">
      <c r="A80" t="str">
        <v>PDP-0615-20</v>
      </c>
      <c r="B80" t="str" xml:space="preserve">
        <v xml:space="preserve">5 Highwood Lane_x000d__x000d_
Paget, BM PG05, Bermuda</v>
      </c>
      <c r="C80" t="str">
        <v>Permitted Development</v>
      </c>
      <c r="D80" t="str">
        <v>Complete</v>
      </c>
      <c r="E80">
        <v>44209</v>
      </c>
      <c r="F80" t="str">
        <v>Roof Mounted Solar PV System 297sqft - 16x340W Modules System Capacity: 5.44, Annual Output: 7593h</v>
      </c>
      <c r="G80">
        <v>5.44</v>
      </c>
      <c r="H80" t="str">
        <v>Residential</v>
      </c>
      <c r="I80">
        <v>44195</v>
      </c>
      <c r="J80">
        <v>44497</v>
      </c>
      <c r="K80" t="str">
        <v>Paget</v>
      </c>
      <c r="L80">
        <v>46035</v>
      </c>
      <c r="M80">
        <v>44497</v>
      </c>
      <c r="N80" t="str">
        <v/>
      </c>
      <c r="O80" t="str">
        <v>Yes</v>
      </c>
      <c r="P80">
        <v>32.2878187</v>
      </c>
      <c r="Q80">
        <v>-64.7792227</v>
      </c>
    </row>
    <row r="81" xml:space="preserve">
      <c r="A81" t="str">
        <v>BC-0250-20</v>
      </c>
      <c r="B81" t="str" xml:space="preserve">
        <v xml:space="preserve">27 King Street_x000d__x000d_
Pembroke, BM HM19, Bermuda</v>
      </c>
      <c r="C81" t="str">
        <v>Building - Commercial</v>
      </c>
      <c r="D81" t="str">
        <v>Complete</v>
      </c>
      <c r="E81">
        <v>44209</v>
      </c>
      <c r="F81" t="str">
        <v>Proposed Roof Mounted Solar PV System Comprising 40 x 255W Modules to Provide Total Coverage of 705 Square Feet and Capacity of 10.2</v>
      </c>
      <c r="G81">
        <v>10.2</v>
      </c>
      <c r="H81" t="str">
        <v>Building Commercial</v>
      </c>
      <c r="I81">
        <v>44188</v>
      </c>
      <c r="J81">
        <v>44259</v>
      </c>
      <c r="K81" t="str">
        <v>City of Hamilton</v>
      </c>
      <c r="L81">
        <v>46035</v>
      </c>
      <c r="M81">
        <v>44259</v>
      </c>
      <c r="N81" t="str">
        <v/>
      </c>
      <c r="O81" t="str">
        <v>Yes</v>
      </c>
      <c r="P81">
        <v>32.2962748</v>
      </c>
      <c r="Q81">
        <v>-64.7784935</v>
      </c>
    </row>
    <row r="82" xml:space="preserve">
      <c r="A82" t="str">
        <v>PDP-0601-20</v>
      </c>
      <c r="B82" t="str" xml:space="preserve">
        <v xml:space="preserve">88 White Sands Road_x000d__x000d_
Paget, BM PG06, Bermuda</v>
      </c>
      <c r="C82" t="str">
        <v>Permitted Development</v>
      </c>
      <c r="D82" t="str">
        <v>Complete</v>
      </c>
      <c r="E82">
        <v>44209</v>
      </c>
      <c r="F82" t="str">
        <v>Solar PV System, 365watts,  527.2sq.ft.  28 Solar Panels,  10.22 System</v>
      </c>
      <c r="G82">
        <v>10.22</v>
      </c>
      <c r="H82" t="str">
        <v>Residential</v>
      </c>
      <c r="I82">
        <v>44180</v>
      </c>
      <c r="J82">
        <v>44309</v>
      </c>
      <c r="K82" t="str">
        <v>Paget</v>
      </c>
      <c r="L82">
        <v>46035</v>
      </c>
      <c r="M82">
        <v>44309</v>
      </c>
      <c r="N82" t="str">
        <v>Donna Francis</v>
      </c>
      <c r="O82" t="str">
        <v>Yes</v>
      </c>
      <c r="P82">
        <v>32.2786638</v>
      </c>
      <c r="Q82">
        <v>-64.7705188</v>
      </c>
    </row>
    <row r="83" xml:space="preserve">
      <c r="A83" t="str">
        <v>PDP-0613-20</v>
      </c>
      <c r="B83" t="str" xml:space="preserve">
        <v xml:space="preserve">4 Marley Beach Lane_x000d__x000d_
Warwick, BM WK08, Bermuda</v>
      </c>
      <c r="C83" t="str">
        <v>Permitted Development</v>
      </c>
      <c r="D83" t="str">
        <v>Complete</v>
      </c>
      <c r="E83">
        <v>44209</v>
      </c>
      <c r="F83" t="str">
        <v>Solar PV System, 365 Watts, 734.37 Square Feet, 39 Solar Panels, 14.24 System</v>
      </c>
      <c r="G83">
        <v>14.24</v>
      </c>
      <c r="H83" t="str">
        <v>Residential</v>
      </c>
      <c r="I83">
        <v>44188</v>
      </c>
      <c r="J83">
        <v>44309</v>
      </c>
      <c r="K83" t="str">
        <v>Warwick</v>
      </c>
      <c r="L83">
        <v>46035</v>
      </c>
      <c r="M83">
        <v>44309</v>
      </c>
      <c r="N83" t="str">
        <v/>
      </c>
      <c r="O83" t="str">
        <v>Yes</v>
      </c>
      <c r="P83">
        <v>32.264246</v>
      </c>
      <c r="Q83">
        <v>-64.797304</v>
      </c>
    </row>
    <row r="84" xml:space="preserve">
      <c r="A84" t="str">
        <v>BR-0420-20</v>
      </c>
      <c r="B84" t="str" xml:space="preserve">
        <v xml:space="preserve">8 West Side Road_x000d__x000d_
Sandys, BM MA03, Bermuda</v>
      </c>
      <c r="C84" t="str">
        <v>Building - Residential</v>
      </c>
      <c r="D84" t="str">
        <v>Complete</v>
      </c>
      <c r="E84">
        <v>44211</v>
      </c>
      <c r="F84" t="str">
        <v>Proposed Roof Mounted Solar PV System 214 sq. ft., 11 Panels, System Capacity: 3.96.</v>
      </c>
      <c r="G84">
        <v>3.96</v>
      </c>
      <c r="H84" t="str">
        <v>Building Residential</v>
      </c>
      <c r="I84">
        <v>44188</v>
      </c>
      <c r="J84">
        <v>44263</v>
      </c>
      <c r="K84" t="str">
        <v>Sandys</v>
      </c>
      <c r="L84">
        <v>46037</v>
      </c>
      <c r="M84">
        <v>44256</v>
      </c>
      <c r="N84" t="str">
        <v/>
      </c>
      <c r="O84" t="str">
        <v>Yes</v>
      </c>
      <c r="P84">
        <v>32.3006358</v>
      </c>
      <c r="Q84">
        <v>-64.8772515</v>
      </c>
    </row>
    <row r="85" xml:space="preserve">
      <c r="A85" t="str">
        <v>PDP-0614-20</v>
      </c>
      <c r="B85" t="str" xml:space="preserve">
        <v xml:space="preserve">5 Marley Beach Drive_x000d__x000d_
Warwick, BM WK08, Bermuda</v>
      </c>
      <c r="C85" t="str">
        <v>Permitted Development</v>
      </c>
      <c r="D85" t="str">
        <v>Complete</v>
      </c>
      <c r="E85">
        <v>44215</v>
      </c>
      <c r="F85" t="str">
        <v>Solar PV System, 365 Watts, 621.39 Square Feet, 33 Solar Panels, 12.05 System *Revision 1: Proposed Tesla battery storage system: Tee (3) Tesla Powerall 2 units: 40.5h total storage capacity Revised Panels: 30 Panels@400W/panel, 12.0 Total Capacity, Total system 570.9 sqft.</v>
      </c>
      <c r="G85">
        <v>12</v>
      </c>
      <c r="H85" t="str">
        <v>Residential</v>
      </c>
      <c r="I85">
        <v>44188</v>
      </c>
      <c r="J85">
        <v>44468</v>
      </c>
      <c r="K85" t="str">
        <v>Warwick</v>
      </c>
      <c r="L85">
        <v>46041</v>
      </c>
      <c r="M85">
        <v>44468</v>
      </c>
      <c r="N85" t="str">
        <v/>
      </c>
      <c r="O85" t="str">
        <v>Yes</v>
      </c>
      <c r="P85">
        <v>32.264147</v>
      </c>
      <c r="Q85">
        <v>-64.797643</v>
      </c>
    </row>
    <row r="86" xml:space="preserve">
      <c r="A86" t="str">
        <v>B0017-21</v>
      </c>
      <c r="B86" t="str" xml:space="preserve">
        <v xml:space="preserve">63 Texas Road_x000d__x000d_
St. George's, BM DD01, Bermuda</v>
      </c>
      <c r="C86" t="str">
        <v>Permitted Development</v>
      </c>
      <c r="D86" t="str">
        <v>Complete</v>
      </c>
      <c r="E86">
        <v>44221</v>
      </c>
      <c r="F86" t="str">
        <v>Roof Mounted Solar PV System 521sqft, 28x375W Modules, System Capacity: 10.5, Annual Output: 14691h</v>
      </c>
      <c r="G86">
        <v>10.5</v>
      </c>
      <c r="H86" t="str">
        <v>Residential</v>
      </c>
      <c r="I86">
        <v>44211</v>
      </c>
      <c r="J86">
        <v>44360</v>
      </c>
      <c r="K86" t="str">
        <v>St. George</v>
      </c>
      <c r="L86">
        <v>46048</v>
      </c>
      <c r="M86">
        <v>44358</v>
      </c>
      <c r="N86" t="str">
        <v/>
      </c>
      <c r="O86" t="str">
        <v>Yes</v>
      </c>
      <c r="P86">
        <v>32.366174</v>
      </c>
      <c r="Q86">
        <v>-64.655897</v>
      </c>
    </row>
    <row r="87" xml:space="preserve">
      <c r="A87" t="str">
        <v>B0019-21</v>
      </c>
      <c r="B87" t="str" xml:space="preserve">
        <v xml:space="preserve">80 Middle Road_x000d__x000d_
Smiths, BM FL06, Bermuda</v>
      </c>
      <c r="C87" t="str">
        <v>Permitted Development</v>
      </c>
      <c r="D87" t="str">
        <v>Complete</v>
      </c>
      <c r="E87">
        <v>44221</v>
      </c>
      <c r="F87" t="str">
        <v>Roof Mounted Solar PV System 260sqft - 14x340W Modules, System Capacity: 4.76, Annual Output: 6396h</v>
      </c>
      <c r="G87">
        <v>4.76</v>
      </c>
      <c r="H87" t="str">
        <v>Residential</v>
      </c>
      <c r="I87">
        <v>44214</v>
      </c>
      <c r="J87">
        <v>44334</v>
      </c>
      <c r="K87" t="str">
        <v>Smiths</v>
      </c>
      <c r="L87">
        <v>46048</v>
      </c>
      <c r="M87">
        <v>44334</v>
      </c>
      <c r="N87" t="str">
        <v/>
      </c>
      <c r="O87" t="str">
        <v>Yes</v>
      </c>
      <c r="P87">
        <v>32.3200049</v>
      </c>
      <c r="Q87">
        <v>-64.7348835</v>
      </c>
    </row>
    <row r="88" xml:space="preserve">
      <c r="A88" t="str">
        <v>B0018-21</v>
      </c>
      <c r="B88" t="str" xml:space="preserve">
        <v xml:space="preserve">9 Flowercote Lane_x000d__x000d_
Smiths, BM FL06, Bermuda</v>
      </c>
      <c r="C88" t="str">
        <v>Permitted Development</v>
      </c>
      <c r="D88" t="str">
        <v>Complete</v>
      </c>
      <c r="E88">
        <v>44221</v>
      </c>
      <c r="F88" t="str">
        <v>Roof Mounted Solar PV System 334sqft - 18x340W Modules, System Capacity: 6.12, Annual Output: 8139h</v>
      </c>
      <c r="G88">
        <v>6.12</v>
      </c>
      <c r="H88" t="str">
        <v>Residential</v>
      </c>
      <c r="I88">
        <v>44214</v>
      </c>
      <c r="J88">
        <v>44336</v>
      </c>
      <c r="K88" t="str">
        <v>Smiths</v>
      </c>
      <c r="L88">
        <v>46048</v>
      </c>
      <c r="M88">
        <v>44336</v>
      </c>
      <c r="N88" t="str">
        <v/>
      </c>
      <c r="O88" t="str">
        <v>Yes</v>
      </c>
      <c r="P88">
        <v>32.317914</v>
      </c>
      <c r="Q88">
        <v>-64.726296</v>
      </c>
    </row>
    <row r="89" xml:space="preserve">
      <c r="A89" t="str">
        <v>B0011-21</v>
      </c>
      <c r="B89" t="str" xml:space="preserve">
        <v xml:space="preserve">10 Brown Estates Road_x000d__x000d_
Hamilton, BM CR01, Bermuda</v>
      </c>
      <c r="C89" t="str">
        <v>Permitted Development</v>
      </c>
      <c r="D89" t="str">
        <v>Complete</v>
      </c>
      <c r="E89">
        <v>44221</v>
      </c>
      <c r="F89" t="str">
        <v>Roof Mounted Solar PV System 502sqft, 27x340W Modules, System Capacity: 9.18, Annual Output: 12055h</v>
      </c>
      <c r="G89">
        <v>9.18</v>
      </c>
      <c r="H89" t="str">
        <v>Residential</v>
      </c>
      <c r="I89">
        <v>44208</v>
      </c>
      <c r="J89">
        <v>44349</v>
      </c>
      <c r="K89" t="str">
        <v>Hamilton</v>
      </c>
      <c r="L89">
        <v>46048</v>
      </c>
      <c r="M89">
        <v>44341</v>
      </c>
      <c r="N89" t="str">
        <v/>
      </c>
      <c r="O89" t="str">
        <v>Yes</v>
      </c>
      <c r="P89">
        <v>32.336619</v>
      </c>
      <c r="Q89">
        <v>-64.731023</v>
      </c>
    </row>
    <row r="90" xml:space="preserve">
      <c r="A90" t="str">
        <v>B0020-21</v>
      </c>
      <c r="B90" t="str" xml:space="preserve">
        <v xml:space="preserve">5 Piper's Peak_x000d__x000d_
Warwick, BM WK03, Bermuda</v>
      </c>
      <c r="C90" t="str">
        <v>Permitted Development</v>
      </c>
      <c r="D90" t="str">
        <v>Under Construction</v>
      </c>
      <c r="E90">
        <v>44221</v>
      </c>
      <c r="F90" t="str">
        <v>Roof Mounted Solar PV System 241sqft - 13x340W Modules, System Capacity: 4.42, Annual Output: 6714h and Wall Mounted Battery System - 6.6h</v>
      </c>
      <c r="G90">
        <v>4.42</v>
      </c>
      <c r="H90" t="str">
        <v>Residential</v>
      </c>
      <c r="I90">
        <v>44215</v>
      </c>
      <c r="J90">
        <v>44324</v>
      </c>
      <c r="K90" t="str">
        <v>Warwick</v>
      </c>
      <c r="L90">
        <v>46048</v>
      </c>
      <c r="M90">
        <v>44323</v>
      </c>
      <c r="N90" t="str">
        <v/>
      </c>
      <c r="O90" t="str">
        <v>Yes</v>
      </c>
      <c r="P90">
        <v>32.2625823</v>
      </c>
      <c r="Q90">
        <v>-64.8081918</v>
      </c>
    </row>
    <row r="91" xml:space="preserve">
      <c r="A91" t="str">
        <v>B0015-21</v>
      </c>
      <c r="B91" t="str" xml:space="preserve">
        <v xml:space="preserve">27 Devon Point Lane_x000d__x000d_
Devonshire, BM FL05, Bermuda</v>
      </c>
      <c r="C91" t="str">
        <v>Permitted Development</v>
      </c>
      <c r="D91" t="str">
        <v>Complete</v>
      </c>
      <c r="E91">
        <v>44221</v>
      </c>
      <c r="F91" t="str">
        <v>Roof Mounted Solar PV System 520sqft - 28x340W Modules, System Capacity: 9.52, Annual Output: 14219h</v>
      </c>
      <c r="G91">
        <v>9.52</v>
      </c>
      <c r="H91" t="str">
        <v>Residential</v>
      </c>
      <c r="I91">
        <v>44210</v>
      </c>
      <c r="J91">
        <v>44355</v>
      </c>
      <c r="K91" t="str">
        <v>Devonshire</v>
      </c>
      <c r="L91">
        <v>46048</v>
      </c>
      <c r="M91">
        <v>44354</v>
      </c>
      <c r="N91" t="str">
        <v/>
      </c>
      <c r="O91" t="str">
        <v>Yes</v>
      </c>
      <c r="P91">
        <v>32.3004091</v>
      </c>
      <c r="Q91">
        <v>-64.7432977</v>
      </c>
    </row>
    <row r="92" xml:space="preserve">
      <c r="A92" t="str">
        <v>B0010-21</v>
      </c>
      <c r="B92" t="str" xml:space="preserve">
        <v xml:space="preserve">38 Middle Road_x000d__x000d_
Paget, BM PG03, Mexico</v>
      </c>
      <c r="C92" t="str">
        <v>Permitted Development</v>
      </c>
      <c r="D92" t="str">
        <v>Complete</v>
      </c>
      <c r="E92">
        <v>44228</v>
      </c>
      <c r="F92" t="str">
        <v>Purpose: Roof Top Solar ? Main House, 236 sq ft, 13 Solar Panels x 320 Watts, System Capacity: 4.160 , Annual Output: 5,595 and Apartment 236 sq ft, 13 Solar Panels x 320 Watts, System Capacity: 4.160 , Annual Output: 5,595</v>
      </c>
      <c r="G92">
        <v>8.32</v>
      </c>
      <c r="H92" t="str">
        <v>Residential</v>
      </c>
      <c r="I92">
        <v>44208</v>
      </c>
      <c r="J92">
        <v>44358</v>
      </c>
      <c r="K92" t="str">
        <v>Paget</v>
      </c>
      <c r="L92">
        <v>46055</v>
      </c>
      <c r="M92">
        <v>44357</v>
      </c>
      <c r="N92" t="str">
        <v/>
      </c>
      <c r="O92" t="str">
        <v>Yes</v>
      </c>
      <c r="P92">
        <v>32.280183</v>
      </c>
      <c r="Q92">
        <v>-64.784913</v>
      </c>
    </row>
    <row r="93" xml:space="preserve">
      <c r="A93" t="str">
        <v>BR0013-21</v>
      </c>
      <c r="B93" t="str" xml:space="preserve">
        <v xml:space="preserve">22 Fairvale Lane_x000d__x000d_
Warwick, BM WK09, Mexico</v>
      </c>
      <c r="C93" t="str">
        <v>Building - Residential</v>
      </c>
      <c r="D93" t="str">
        <v>Complete</v>
      </c>
      <c r="E93">
        <v>44244</v>
      </c>
      <c r="F93" t="str">
        <v>Proposed Roof Mounted Solar PV System 223 sq. ft., 12 Modules; System Capacity 4.08 , Annual Output 5975 h.</v>
      </c>
      <c r="G93">
        <v>4.08</v>
      </c>
      <c r="H93" t="str">
        <v>Building Residential</v>
      </c>
      <c r="I93">
        <v>44222</v>
      </c>
      <c r="J93">
        <v>44263</v>
      </c>
      <c r="K93" t="str">
        <v>Warwick</v>
      </c>
      <c r="L93">
        <v>46070</v>
      </c>
      <c r="M93">
        <v>44256</v>
      </c>
      <c r="N93" t="str">
        <v/>
      </c>
      <c r="O93" t="str">
        <v>Yes</v>
      </c>
      <c r="P93">
        <v>32.273048</v>
      </c>
      <c r="Q93">
        <v>-64.794697</v>
      </c>
    </row>
    <row r="94" xml:space="preserve">
      <c r="A94" t="str">
        <v>BR0015-21</v>
      </c>
      <c r="B94" t="str" xml:space="preserve">
        <v xml:space="preserve">17 Sound View Road_x000d__x000d_
Sandys, BM MA05, Bermuda</v>
      </c>
      <c r="C94" t="str">
        <v>Building - Residential</v>
      </c>
      <c r="D94" t="str">
        <v>Under Construction</v>
      </c>
      <c r="E94">
        <v>44250</v>
      </c>
      <c r="F94" t="str">
        <v>Proposed Roof Mounted Solar PV System 331 sq. ft., 17 Modules; System Capacity 6.12  Annual Output 8386 H.</v>
      </c>
      <c r="G94">
        <v>6.12</v>
      </c>
      <c r="H94" t="str">
        <v>Building Residential</v>
      </c>
      <c r="I94">
        <v>44223</v>
      </c>
      <c r="J94">
        <v>44308</v>
      </c>
      <c r="K94" t="str">
        <v>Sandys</v>
      </c>
      <c r="L94">
        <v>46076</v>
      </c>
      <c r="M94">
        <v>44307</v>
      </c>
      <c r="N94" t="str">
        <v/>
      </c>
      <c r="O94" t="str">
        <v>Yes</v>
      </c>
      <c r="P94">
        <v>32.2953411</v>
      </c>
      <c r="Q94">
        <v>-64.8629142</v>
      </c>
    </row>
    <row r="95" xml:space="preserve">
      <c r="A95" t="str">
        <v>B0097-21</v>
      </c>
      <c r="B95" t="str" xml:space="preserve">
        <v xml:space="preserve">1 Eustace Close_x000d__x000d_
Southampton, SB04</v>
      </c>
      <c r="C95" t="str">
        <v>Permitted Development</v>
      </c>
      <c r="D95" t="str">
        <v>Complete</v>
      </c>
      <c r="E95">
        <v>44256</v>
      </c>
      <c r="F95" t="str" xml:space="preserve">
        <v xml:space="preserve">Roof Mounted Solar PV system - 10 Solar Panels (186sqft/ 3.4 )_x000d__x000d_
10x340W modules_x000d__x000d_
System Capacity: 3.4_x000d__x000d_
Annual Output: 4090h</v>
      </c>
      <c r="G95">
        <v>3.4</v>
      </c>
      <c r="H95" t="str">
        <v>Residential</v>
      </c>
      <c r="I95">
        <v>44250</v>
      </c>
      <c r="J95">
        <v>44284</v>
      </c>
      <c r="K95" t="str">
        <v>Southampton</v>
      </c>
      <c r="L95">
        <v>46083</v>
      </c>
      <c r="M95">
        <v>44284</v>
      </c>
      <c r="N95" t="str">
        <v/>
      </c>
      <c r="O95" t="str">
        <v>Yes</v>
      </c>
      <c r="P95">
        <v>32.2594416</v>
      </c>
      <c r="Q95">
        <v>-64.8661233</v>
      </c>
    </row>
    <row r="96" xml:space="preserve">
      <c r="A96" t="str">
        <v>BR-0412-20</v>
      </c>
      <c r="B96" t="str" xml:space="preserve">
        <v xml:space="preserve">24 Skyline Road_x000d__x000d_
Smiths, BM FL08, Bermuda</v>
      </c>
      <c r="C96" t="str">
        <v>Building - Residential</v>
      </c>
      <c r="D96" t="str">
        <v>Complete</v>
      </c>
      <c r="E96">
        <v>44267</v>
      </c>
      <c r="F96" t="str">
        <v>Proposed Alterations and Additions to a Two Storey House. *Revision 1: Dining Room Extension roof changed to Flat roof. Add 2 solar panels (24 panels@340W. Total system Capacity 8.16) Add 13h battery storage. Delete generator. Revised pool equipment room. In-ground spa added. Ground mounted LP Gas tank w/4' wall on 2 sides. Wall &amp; pool fence increased to 7'. Double den door. 2 steps, stone hearth, gas grill and vented fireplace added to verandahs. Change to verandah foundations. *Revision 2: Increase height of 3 windowsills located on upper level east and south facades of the property. *Revision* (3) New external stair case to lower level for basement and outdoor patio. Change of use from inaccessible void space to basement/storage. Proposed Conversion of Basement to New Studio Apartment (2 Units Total). (Building Only P0367-22)</v>
      </c>
      <c r="G96">
        <v>8.16</v>
      </c>
      <c r="H96" t="str">
        <v>Building Residential</v>
      </c>
      <c r="I96">
        <v>44180</v>
      </c>
      <c r="J96">
        <v>45349</v>
      </c>
      <c r="K96" t="str">
        <v>Smiths</v>
      </c>
      <c r="L96">
        <v>46093</v>
      </c>
      <c r="M96">
        <v>45947</v>
      </c>
      <c r="N96" t="str">
        <v/>
      </c>
      <c r="O96" t="str">
        <v>Yes</v>
      </c>
      <c r="P96">
        <v>32.3195565</v>
      </c>
      <c r="Q96">
        <v>-64.7205489</v>
      </c>
    </row>
    <row r="97" xml:space="preserve">
      <c r="A97" t="str">
        <v>BC0035-21</v>
      </c>
      <c r="B97" t="str" xml:space="preserve">
        <v xml:space="preserve">40 North Shore Road_x000d__x000d_
Hamilton, FL04</v>
      </c>
      <c r="C97" t="str">
        <v>Building - Commercial</v>
      </c>
      <c r="D97" t="str">
        <v>Complete</v>
      </c>
      <c r="E97">
        <v>44267</v>
      </c>
      <c r="F97" t="str">
        <v>Roof mounted solar PV system - 878sqft 47 Panels x 340W modules System Capacity: 15.98</v>
      </c>
      <c r="G97">
        <v>15.98</v>
      </c>
      <c r="H97" t="str">
        <v>Building Commercial</v>
      </c>
      <c r="I97">
        <v>44264</v>
      </c>
      <c r="J97">
        <v>44538</v>
      </c>
      <c r="K97" t="str">
        <v>Hamilton</v>
      </c>
      <c r="L97">
        <v>46093</v>
      </c>
      <c r="M97">
        <v>44515</v>
      </c>
      <c r="N97" t="str">
        <v/>
      </c>
      <c r="O97" t="str">
        <v>Yes</v>
      </c>
      <c r="P97">
        <v>32.3235107</v>
      </c>
      <c r="Q97">
        <v>-64.7369515</v>
      </c>
    </row>
    <row r="98" xml:space="preserve">
      <c r="A98" t="str">
        <v>B0176-21</v>
      </c>
      <c r="B98" t="str" xml:space="preserve">
        <v xml:space="preserve">2 Sanz Close_x000d__x000d_
Pembroke, HM06</v>
      </c>
      <c r="C98" t="str">
        <v>Permitted Development</v>
      </c>
      <c r="D98" t="str">
        <v>Complete</v>
      </c>
      <c r="E98">
        <v>44278</v>
      </c>
      <c r="F98" t="str">
        <v>Roof Mounted Solar PV System - 186sf, 10 x 340W 10 x 340W Module, System Capacity: 3.4, Annual Output: 4476h</v>
      </c>
      <c r="G98">
        <v>3.4</v>
      </c>
      <c r="H98" t="str">
        <v>Residential</v>
      </c>
      <c r="I98">
        <v>44277</v>
      </c>
      <c r="J98">
        <v>44376</v>
      </c>
      <c r="K98" t="str">
        <v>Pembroke</v>
      </c>
      <c r="L98">
        <v>46104</v>
      </c>
      <c r="M98">
        <v>44376</v>
      </c>
      <c r="N98" t="str">
        <v/>
      </c>
      <c r="O98" t="str">
        <v>Yes</v>
      </c>
      <c r="P98">
        <v>32.2969152</v>
      </c>
      <c r="Q98">
        <v>-64.7944164</v>
      </c>
    </row>
    <row r="99" xml:space="preserve">
      <c r="A99" t="str">
        <v>B0139-21</v>
      </c>
      <c r="B99" t="str" xml:space="preserve">
        <v xml:space="preserve">22 Tee Street_x000d__x000d_
Devonshire, DV03</v>
      </c>
      <c r="C99" t="str">
        <v>Permitted Development</v>
      </c>
      <c r="D99" t="str">
        <v>Complete</v>
      </c>
      <c r="E99">
        <v>44284</v>
      </c>
      <c r="F99" t="str">
        <v>Creation of home office/batoom in basement, addition of solar panels 9 panels, 340W per panel, 18.57 sq ft per panel; Total 3.06 , 167.13 sq ft</v>
      </c>
      <c r="G99">
        <v>3.06</v>
      </c>
      <c r="H99" t="str">
        <v>Residential</v>
      </c>
      <c r="I99">
        <v>44266</v>
      </c>
      <c r="J99">
        <v>44417</v>
      </c>
      <c r="K99" t="str">
        <v>Devonshire</v>
      </c>
      <c r="L99">
        <v>46111</v>
      </c>
      <c r="M99">
        <v>44414</v>
      </c>
      <c r="N99" t="str">
        <v/>
      </c>
      <c r="O99" t="str">
        <v>Yes</v>
      </c>
      <c r="P99">
        <v>32.296095</v>
      </c>
      <c r="Q99">
        <v>-64.75857</v>
      </c>
    </row>
    <row r="100" xml:space="preserve">
      <c r="A100" t="str">
        <v>BR0068-21</v>
      </c>
      <c r="B100" t="str" xml:space="preserve">
        <v xml:space="preserve">21 Harbour Road_x000d__x000d_
Warwick, WK04</v>
      </c>
      <c r="C100" t="str">
        <v>Building - Residential</v>
      </c>
      <c r="D100" t="str">
        <v>Complete</v>
      </c>
      <c r="E100">
        <v>44284</v>
      </c>
      <c r="F100" t="str" xml:space="preserve">
        <v xml:space="preserve">Roof Mounted Solar PV System - 279sqft_x000d__x000d_
15 x 340W Modules_x000d__x000d_
System Capacity: 5.1_x000d__x000d_
Annual Output: 6139h</v>
      </c>
      <c r="G100">
        <v>5.1</v>
      </c>
      <c r="H100" t="str">
        <v>Building Residential</v>
      </c>
      <c r="I100">
        <v>44272</v>
      </c>
      <c r="J100">
        <v>44369</v>
      </c>
      <c r="K100" t="str">
        <v>Warwick</v>
      </c>
      <c r="L100">
        <v>46111</v>
      </c>
      <c r="M100">
        <v>44357</v>
      </c>
      <c r="N100" t="str">
        <v/>
      </c>
      <c r="O100" t="str">
        <v>Yes</v>
      </c>
      <c r="P100">
        <v>32.270992</v>
      </c>
      <c r="Q100">
        <v>-64.813991</v>
      </c>
    </row>
    <row r="101" xml:space="preserve">
      <c r="A101" t="str">
        <v>B0150-21</v>
      </c>
      <c r="B101" t="str" xml:space="preserve">
        <v xml:space="preserve">26 Middle Road Unit: A_x000d__x000d_
Paget, PG03</v>
      </c>
      <c r="C101" t="str">
        <v>Permitted Development</v>
      </c>
      <c r="D101" t="str">
        <v>Complete</v>
      </c>
      <c r="E101">
        <v>44292</v>
      </c>
      <c r="F101" t="str" xml:space="preserve">
        <v xml:space="preserve">Roof mounted solar photovoltaic system._x000d__x000d_
24 x 325 Watt panels, 7,800 Watts DC. 11,428 Annual Output_x000d__x000d_
Total Coverage 432 sq. ft.</v>
      </c>
      <c r="G101">
        <v>7.8</v>
      </c>
      <c r="H101" t="str">
        <v>Residential</v>
      </c>
      <c r="I101">
        <v>44270</v>
      </c>
      <c r="J101">
        <v>44340</v>
      </c>
      <c r="K101" t="str">
        <v>Paget</v>
      </c>
      <c r="L101">
        <v>46118</v>
      </c>
      <c r="M101">
        <v>44340</v>
      </c>
      <c r="N101" t="str">
        <v/>
      </c>
      <c r="O101" t="str">
        <v>Yes</v>
      </c>
      <c r="P101">
        <v>32.280183</v>
      </c>
      <c r="Q101">
        <v>-64.784913</v>
      </c>
    </row>
    <row r="102" xml:space="preserve">
      <c r="A102" t="str">
        <v>B0156-21</v>
      </c>
      <c r="B102" t="str" xml:space="preserve">
        <v xml:space="preserve">6 Ocean Lane_x000d__x000d_
Pembroke, HM13</v>
      </c>
      <c r="C102" t="str">
        <v>Permitted Development</v>
      </c>
      <c r="D102" t="str">
        <v>Complete</v>
      </c>
      <c r="E102">
        <v>44292</v>
      </c>
      <c r="F102" t="str" xml:space="preserve">
        <v xml:space="preserve">Roof Mounted Solar PV System._x000d__x000d_
18 x 330Watt Panels = 5,940 Watts DC_x000d__x000d_
9,647 Annual Output_x000d__x000d_
Total Coverage 324.36 square feet.</v>
      </c>
      <c r="G102">
        <v>5.94</v>
      </c>
      <c r="H102" t="str">
        <v>Residential</v>
      </c>
      <c r="I102">
        <v>44271</v>
      </c>
      <c r="J102">
        <v>44333</v>
      </c>
      <c r="K102" t="str">
        <v>Pembroke</v>
      </c>
      <c r="L102">
        <v>46118</v>
      </c>
      <c r="M102">
        <v>44333</v>
      </c>
      <c r="N102" t="str">
        <v/>
      </c>
      <c r="O102" t="str">
        <v>Yes</v>
      </c>
      <c r="P102">
        <v>32.304537</v>
      </c>
      <c r="Q102">
        <v>-64.786334</v>
      </c>
    </row>
    <row r="103" xml:space="preserve">
      <c r="A103" t="str">
        <v>B0107-21</v>
      </c>
      <c r="B103" t="str" xml:space="preserve">
        <v xml:space="preserve">22 Happy Valley Road_x000d__x000d_
Pembroke, BM HM19, Bermuda</v>
      </c>
      <c r="C103" t="str">
        <v>Permitted Development</v>
      </c>
      <c r="D103" t="str">
        <v>Complete</v>
      </c>
      <c r="E103">
        <v>44294</v>
      </c>
      <c r="F103" t="str">
        <v>Solar PV System, 365 Watts, 338.9 Square Feet, 18 Solar Panels, 6.57 System</v>
      </c>
      <c r="G103">
        <v>6.57</v>
      </c>
      <c r="H103" t="str">
        <v>Residential</v>
      </c>
      <c r="I103">
        <v>44252</v>
      </c>
      <c r="J103">
        <v>44846</v>
      </c>
      <c r="K103" t="str">
        <v>Pembroke</v>
      </c>
      <c r="L103">
        <v>46120</v>
      </c>
      <c r="M103">
        <v>44845</v>
      </c>
      <c r="N103" t="str">
        <v/>
      </c>
      <c r="O103" t="str">
        <v>Yes</v>
      </c>
      <c r="P103">
        <v>32.296584</v>
      </c>
      <c r="Q103">
        <v>-64.774937</v>
      </c>
    </row>
    <row r="104" xml:space="preserve">
      <c r="A104" t="str">
        <v>B0105-21</v>
      </c>
      <c r="B104" t="str" xml:space="preserve">
        <v xml:space="preserve">25 Scott's Hill Road_x000d__x000d_
Sandys, BM MA05, Bermuda</v>
      </c>
      <c r="C104" t="str">
        <v>Permitted Development</v>
      </c>
      <c r="D104" t="str">
        <v>Complete</v>
      </c>
      <c r="E104">
        <v>44294</v>
      </c>
      <c r="F104" t="str">
        <v>Solar PV System, 365 Watts, 470.8 Square Feet, 25 Solar Panels, 9.12 System</v>
      </c>
      <c r="G104">
        <v>9.12</v>
      </c>
      <c r="H104" t="str">
        <v>Residential</v>
      </c>
      <c r="I104">
        <v>44252</v>
      </c>
      <c r="J104">
        <v>44350</v>
      </c>
      <c r="K104" t="str">
        <v>Sandys</v>
      </c>
      <c r="L104">
        <v>46120</v>
      </c>
      <c r="M104">
        <v>44350</v>
      </c>
      <c r="N104" t="str">
        <v/>
      </c>
      <c r="O104" t="str">
        <v>Yes</v>
      </c>
      <c r="P104">
        <v>32.298507</v>
      </c>
      <c r="Q104">
        <v>-64.863986</v>
      </c>
    </row>
    <row r="105" xml:space="preserve">
      <c r="A105" t="str">
        <v>B0104-21</v>
      </c>
      <c r="B105" t="str" xml:space="preserve">
        <v xml:space="preserve">18 Sleepy Hollow Drive_x000d__x000d_
Hamilton, BM CR02, Bermuda</v>
      </c>
      <c r="C105" t="str">
        <v>Permitted Development</v>
      </c>
      <c r="D105" t="str">
        <v>Complete</v>
      </c>
      <c r="E105">
        <v>44294</v>
      </c>
      <c r="F105" t="str">
        <v>Solar PV System, 365 Watts, 357..8 Square Feet, 19 Solar Panels, 6.93 System</v>
      </c>
      <c r="G105">
        <v>6.94</v>
      </c>
      <c r="H105" t="str">
        <v>Residential</v>
      </c>
      <c r="I105">
        <v>44252</v>
      </c>
      <c r="J105">
        <v>44361</v>
      </c>
      <c r="K105" t="str">
        <v>Hamilton</v>
      </c>
      <c r="L105">
        <v>46120</v>
      </c>
      <c r="M105">
        <v>44358</v>
      </c>
      <c r="N105" t="str">
        <v/>
      </c>
      <c r="O105" t="str">
        <v>Yes</v>
      </c>
      <c r="P105">
        <v>32.341042</v>
      </c>
      <c r="Q105">
        <v>-64.730017</v>
      </c>
    </row>
    <row r="106" xml:space="preserve">
      <c r="A106" t="str">
        <v>B0106-21</v>
      </c>
      <c r="B106" t="str" xml:space="preserve">
        <v xml:space="preserve">29 Hermitage Road_x000d__x000d_
Devonshire, BM FL02, Bermuda</v>
      </c>
      <c r="C106" t="str">
        <v>Permitted Development</v>
      </c>
      <c r="D106" t="str">
        <v>Under Construction</v>
      </c>
      <c r="E106">
        <v>44294</v>
      </c>
      <c r="F106" t="str">
        <v>Solar PV System, 365 Watts, 414.3 Square Feet, 22 Solar Panels, 8.03 System</v>
      </c>
      <c r="G106">
        <v>8.03</v>
      </c>
      <c r="H106" t="str">
        <v>Residential</v>
      </c>
      <c r="I106">
        <v>44252</v>
      </c>
      <c r="J106" t="str">
        <v/>
      </c>
      <c r="K106" t="str">
        <v>Devonshire</v>
      </c>
      <c r="L106">
        <v>46120</v>
      </c>
      <c r="M106">
        <v>44323</v>
      </c>
      <c r="N106" t="str">
        <v/>
      </c>
      <c r="O106" t="str">
        <v>Yes</v>
      </c>
      <c r="P106">
        <v>32.309202</v>
      </c>
      <c r="Q106">
        <v>-64.745456</v>
      </c>
    </row>
    <row r="107" xml:space="preserve">
      <c r="A107" t="str">
        <v>B0103-21</v>
      </c>
      <c r="B107" t="str" xml:space="preserve">
        <v xml:space="preserve">4 Rebecca Road Unit: A_x000d__x000d_
Southampton, BM SN04, Bermuda</v>
      </c>
      <c r="C107" t="str">
        <v>Permitted Development</v>
      </c>
      <c r="D107" t="str">
        <v>Complete</v>
      </c>
      <c r="E107">
        <v>44294</v>
      </c>
      <c r="F107" t="str">
        <v>Solar PV System, 365 Watts, 376.6 Square Feet, 20 Solar Panels, 7.3 System</v>
      </c>
      <c r="G107">
        <v>7.3</v>
      </c>
      <c r="H107" t="str">
        <v>Residential</v>
      </c>
      <c r="I107">
        <v>44252</v>
      </c>
      <c r="J107">
        <v>44358</v>
      </c>
      <c r="K107" t="str">
        <v>Southampton</v>
      </c>
      <c r="L107">
        <v>46120</v>
      </c>
      <c r="M107">
        <v>44357</v>
      </c>
      <c r="N107" t="str">
        <v/>
      </c>
      <c r="O107" t="str">
        <v>Yes</v>
      </c>
      <c r="P107">
        <v>32.258812</v>
      </c>
      <c r="Q107">
        <v>-64.831001</v>
      </c>
    </row>
    <row r="108" xml:space="preserve">
      <c r="A108" t="str">
        <v>B0102-21</v>
      </c>
      <c r="B108" t="str" xml:space="preserve">
        <v xml:space="preserve">10 Manor Hill_x000d__x000d_
Warwick, BM PG01, Bermuda</v>
      </c>
      <c r="C108" t="str">
        <v>Permitted Development</v>
      </c>
      <c r="D108" t="str">
        <v>Complete</v>
      </c>
      <c r="E108">
        <v>44294</v>
      </c>
      <c r="F108" t="str">
        <v>Solar PV System, 365 Watts, 376.6 Square Feet, 20 Solar Panels, 7.3 System</v>
      </c>
      <c r="G108">
        <v>7.3</v>
      </c>
      <c r="H108" t="str">
        <v>Residential</v>
      </c>
      <c r="I108">
        <v>44252</v>
      </c>
      <c r="J108">
        <v>44397</v>
      </c>
      <c r="K108" t="str">
        <v>Warwick</v>
      </c>
      <c r="L108">
        <v>46120</v>
      </c>
      <c r="M108">
        <v>44397</v>
      </c>
      <c r="N108" t="str">
        <v/>
      </c>
      <c r="O108" t="str">
        <v>Yes</v>
      </c>
      <c r="P108">
        <v>32.2777809</v>
      </c>
      <c r="Q108">
        <v>-64.7942622</v>
      </c>
    </row>
    <row r="109" xml:space="preserve">
      <c r="A109" t="str">
        <v>B0169-21</v>
      </c>
      <c r="B109" t="str" xml:space="preserve">
        <v xml:space="preserve">18 Jones Lane_x000d__x000d_
Warwick, PG01</v>
      </c>
      <c r="C109" t="str">
        <v>Permitted Development</v>
      </c>
      <c r="D109" t="str">
        <v>Complete</v>
      </c>
      <c r="E109">
        <v>44294</v>
      </c>
      <c r="F109" t="str" xml:space="preserve">
        <v xml:space="preserve">Roof Mounted Solar PV System - 409sqft, 22 x 340W Modules, System Capacity: 7.48_x000d__x000d_
Annual Output: 10102h</v>
      </c>
      <c r="G109">
        <v>7.48</v>
      </c>
      <c r="H109" t="str">
        <v>Residential</v>
      </c>
      <c r="I109">
        <v>44274</v>
      </c>
      <c r="J109">
        <v>44418</v>
      </c>
      <c r="K109" t="str">
        <v>Warwick</v>
      </c>
      <c r="L109">
        <v>46120</v>
      </c>
      <c r="M109">
        <v>44418</v>
      </c>
      <c r="N109" t="str">
        <v/>
      </c>
      <c r="O109" t="str">
        <v>Yes</v>
      </c>
      <c r="P109">
        <v>32.278937</v>
      </c>
      <c r="Q109">
        <v>-64.795471</v>
      </c>
    </row>
    <row r="110" xml:space="preserve">
      <c r="A110" t="str">
        <v>B0184-21</v>
      </c>
      <c r="B110" t="str" xml:space="preserve">
        <v xml:space="preserve">1 Tamarisk Hill_x000d__x000d_
Smiths, FL03</v>
      </c>
      <c r="C110" t="str">
        <v>Permitted Development</v>
      </c>
      <c r="D110" t="str">
        <v>Complete</v>
      </c>
      <c r="E110">
        <v>44294</v>
      </c>
      <c r="F110" t="str">
        <v>Roof Mounted Solar PV System - 279sqf, 15 x 340W Modules, System Capacity: 5.1, Annual Output: 6415h</v>
      </c>
      <c r="G110">
        <v>5.1</v>
      </c>
      <c r="H110" t="str">
        <v>Residential</v>
      </c>
      <c r="I110">
        <v>44281</v>
      </c>
      <c r="J110">
        <v>44384</v>
      </c>
      <c r="K110" t="str">
        <v>Smiths</v>
      </c>
      <c r="L110">
        <v>46120</v>
      </c>
      <c r="M110">
        <v>44384</v>
      </c>
      <c r="N110" t="str">
        <v/>
      </c>
      <c r="O110" t="str">
        <v>Yes</v>
      </c>
      <c r="P110">
        <v>32.318357</v>
      </c>
      <c r="Q110">
        <v>-64.745544</v>
      </c>
    </row>
    <row r="111" xml:space="preserve">
      <c r="A111" t="str">
        <v>B0181-21</v>
      </c>
      <c r="B111" t="str" xml:space="preserve">
        <v xml:space="preserve">41 Mission Crescent_x000d__x000d_
Paget, PG06</v>
      </c>
      <c r="C111" t="str">
        <v>Permitted Development</v>
      </c>
      <c r="D111" t="str">
        <v>Complete</v>
      </c>
      <c r="E111">
        <v>44294</v>
      </c>
      <c r="F111" t="str" xml:space="preserve">
        <v xml:space="preserve">Solar PV :  System 1A-  Main House, 14 x 310 watt Sunpreme Solar Panels, System Capacity 4.34 , Total area 255.82 Sf_x000d__x000d_
System 1B- Greenhouse on Main House Meter, 15 x 310 watt Sunpreme Solar Panels, System Capacity 4.64 , Total area 274.1 Sf_x000d__x000d_
System 2- Greenhouse on Greenhouse meter 3 x 310 watt Sunpreme Solar Panels System Capacity. 93 , Total area 54.8 Sf_x000d__x000d_
System 1&amp;2- Total area Sq' Coverage 584.72_x000d__x000d_
Total PV site capacity 9.92 </v>
      </c>
      <c r="G111">
        <v>9.92</v>
      </c>
      <c r="H111" t="str">
        <v>Residential</v>
      </c>
      <c r="I111">
        <v>44279</v>
      </c>
      <c r="J111">
        <v>44358</v>
      </c>
      <c r="K111" t="str">
        <v>Paget</v>
      </c>
      <c r="L111">
        <v>46120</v>
      </c>
      <c r="M111">
        <v>44355</v>
      </c>
      <c r="N111" t="str">
        <v/>
      </c>
      <c r="O111" t="str">
        <v>Yes</v>
      </c>
      <c r="P111">
        <v>32.278053</v>
      </c>
      <c r="Q111">
        <v>-64.771588</v>
      </c>
    </row>
    <row r="112" xml:space="preserve">
      <c r="A112" t="str">
        <v>B0112-21</v>
      </c>
      <c r="B112" t="str" xml:space="preserve">
        <v xml:space="preserve">5 Cedarberry Drive_x000d__x000d_
Hamilton, CR04</v>
      </c>
      <c r="C112" t="str">
        <v>Permitted Development</v>
      </c>
      <c r="D112" t="str">
        <v>Complete</v>
      </c>
      <c r="E112">
        <v>44307</v>
      </c>
      <c r="F112" t="str">
        <v xml:space="preserve">Proposed 39 New PV Solar Panels on Existing Roof (780 sq. ft. Total Area) 415 Watts per Panel. Total System Capacity 16.18, Annual Output - 20,000 *Revision 1: Reduced number in panels (-3 panels). (36 in total) PV Solar System 36 panels @ 415 W/panel; 19 sq ft/ panel; Total system area 684 sq ft; Total DC Output 14.94 ; Annual Output 18,000 h; AC output 13.482 </v>
      </c>
      <c r="G112">
        <v>16.18</v>
      </c>
      <c r="H112" t="str">
        <v>Residential</v>
      </c>
      <c r="I112">
        <v>44256</v>
      </c>
      <c r="J112">
        <v>45681</v>
      </c>
      <c r="K112" t="str">
        <v>Hamilton</v>
      </c>
      <c r="L112">
        <v>46133</v>
      </c>
      <c r="M112">
        <v>45021</v>
      </c>
      <c r="N112" t="str">
        <v/>
      </c>
      <c r="O112" t="str">
        <v>Yes</v>
      </c>
      <c r="P112">
        <v>32.340728</v>
      </c>
      <c r="Q112">
        <v>-64.709274</v>
      </c>
    </row>
    <row r="113" xml:space="preserve">
      <c r="A113" t="str">
        <v>B0171-21</v>
      </c>
      <c r="B113" t="str" xml:space="preserve">
        <v xml:space="preserve">15 Skroggins Hill_x000d__x000d_
Southampton, BM SB02, Bermuda</v>
      </c>
      <c r="C113" t="str">
        <v>Permitted Development</v>
      </c>
      <c r="D113" t="str">
        <v>Complete</v>
      </c>
      <c r="E113">
        <v>44312</v>
      </c>
      <c r="F113" t="str">
        <v>Roof Top Solar - 20 - 320Watt PV Modules (6.4), Annual Production 8,130h, Total Area 366 Square Feet.</v>
      </c>
      <c r="G113">
        <v>6.4</v>
      </c>
      <c r="H113" t="str">
        <v>Residential</v>
      </c>
      <c r="I113">
        <v>44274</v>
      </c>
      <c r="J113">
        <v>44356</v>
      </c>
      <c r="K113" t="str">
        <v>Southampton</v>
      </c>
      <c r="L113">
        <v>46139</v>
      </c>
      <c r="M113">
        <v>44356</v>
      </c>
      <c r="N113" t="str">
        <v/>
      </c>
      <c r="O113" t="str">
        <v>Yes</v>
      </c>
      <c r="P113">
        <v>32.261611</v>
      </c>
      <c r="Q113">
        <v>-64.866607</v>
      </c>
    </row>
    <row r="114" xml:space="preserve">
      <c r="A114" t="str">
        <v>BC0046-21</v>
      </c>
      <c r="B114" t="str" xml:space="preserve">
        <v xml:space="preserve">117 Middle Road_x000d__x000d_
Warwick, PG01</v>
      </c>
      <c r="C114" t="str">
        <v>Building - Commercial</v>
      </c>
      <c r="D114" t="str">
        <v>Complete</v>
      </c>
      <c r="E114">
        <v>44312</v>
      </c>
      <c r="F114" t="str">
        <v>Roof Mounted Solar Photovoltaic System - Science Wing Building, 274 panels @ 330 W/panel; Total Area 4937 sq ft; Total Capacity 90.42</v>
      </c>
      <c r="G114">
        <v>90.42</v>
      </c>
      <c r="H114" t="str">
        <v>Building Commercial</v>
      </c>
      <c r="I114">
        <v>44294</v>
      </c>
      <c r="J114">
        <v>44517</v>
      </c>
      <c r="K114" t="str">
        <v>Warwick</v>
      </c>
      <c r="L114">
        <v>46139</v>
      </c>
      <c r="M114">
        <v>44491</v>
      </c>
      <c r="N114" t="str">
        <v/>
      </c>
      <c r="O114" t="str">
        <v>Yes</v>
      </c>
      <c r="P114">
        <v>32.275921</v>
      </c>
      <c r="Q114">
        <v>-64.794246</v>
      </c>
    </row>
    <row r="115" xml:space="preserve">
      <c r="A115" t="str">
        <v>B0175-21</v>
      </c>
      <c r="B115" t="str" xml:space="preserve">
        <v xml:space="preserve">5 Elm Lane_x000d__x000d_
Sandys, SB02</v>
      </c>
      <c r="C115" t="str">
        <v>Permitted Development</v>
      </c>
      <c r="D115" t="str">
        <v>Complete</v>
      </c>
      <c r="E115">
        <v>44312</v>
      </c>
      <c r="F115" t="str">
        <v>Solar Photovoltaic System, 18 x 330 Watt panels = 5.94 . Annual Output 9,564 Total roof coverage 324 square feet.</v>
      </c>
      <c r="G115">
        <v>5.94</v>
      </c>
      <c r="H115" t="str">
        <v>Residential</v>
      </c>
      <c r="I115">
        <v>44277</v>
      </c>
      <c r="J115">
        <v>44340</v>
      </c>
      <c r="K115" t="str">
        <v>Sandys</v>
      </c>
      <c r="L115">
        <v>46139</v>
      </c>
      <c r="M115">
        <v>44340</v>
      </c>
      <c r="N115" t="str">
        <v/>
      </c>
      <c r="O115" t="str">
        <v>Yes</v>
      </c>
      <c r="P115">
        <v>32.272517</v>
      </c>
      <c r="Q115">
        <v>-64.874107</v>
      </c>
    </row>
    <row r="116" xml:space="preserve">
      <c r="A116" t="str">
        <v>BC0013-21</v>
      </c>
      <c r="B116" t="str" xml:space="preserve">
        <v xml:space="preserve">12 Bakery Lane_x000d__x000d_
Pembroke, BM HM07, Bermuda</v>
      </c>
      <c r="C116" t="str">
        <v>Building - Commercial</v>
      </c>
      <c r="D116" t="str">
        <v>Under Construction</v>
      </c>
      <c r="E116">
        <v>44329</v>
      </c>
      <c r="F116" t="str">
        <v>Proposed Installation of Roof Mounted PV Solar Panels (351 Panels, 6,390sq. ft., 126.36h System Capacity)</v>
      </c>
      <c r="G116">
        <v>126.36</v>
      </c>
      <c r="H116" t="str">
        <v>Building Commercial</v>
      </c>
      <c r="I116">
        <v>44223</v>
      </c>
      <c r="J116">
        <v>44658</v>
      </c>
      <c r="K116" t="str">
        <v>Pembroke</v>
      </c>
      <c r="L116">
        <v>46155</v>
      </c>
      <c r="M116">
        <v>44624</v>
      </c>
      <c r="N116" t="str">
        <v/>
      </c>
      <c r="O116" t="str">
        <v>Yes</v>
      </c>
      <c r="P116">
        <v>32.2992856</v>
      </c>
      <c r="Q116">
        <v>-64.7958167</v>
      </c>
    </row>
    <row r="117" xml:space="preserve">
      <c r="A117" t="str">
        <v>BR0104-21</v>
      </c>
      <c r="B117" t="str" xml:space="preserve">
        <v xml:space="preserve">16 Burgess Point Road_x000d__x000d_
Warwick, WK04</v>
      </c>
      <c r="C117" t="str">
        <v>Building - Residential</v>
      </c>
      <c r="D117" t="str">
        <v>Complete</v>
      </c>
      <c r="E117">
        <v>44333</v>
      </c>
      <c r="F117" t="str">
        <v>Roof Mounted Solar PV system - 372sqft, 20x340W Modules, System Capacity: 6.8, Annual Output: 9224h</v>
      </c>
      <c r="G117">
        <v>6.8</v>
      </c>
      <c r="H117" t="str">
        <v>Building Residential</v>
      </c>
      <c r="I117">
        <v>44300</v>
      </c>
      <c r="J117">
        <v>44363</v>
      </c>
      <c r="K117" t="str">
        <v>Warwick</v>
      </c>
      <c r="L117">
        <v>46160</v>
      </c>
      <c r="M117">
        <v>44363</v>
      </c>
      <c r="N117" t="str">
        <v/>
      </c>
      <c r="O117" t="str">
        <v>Yes</v>
      </c>
      <c r="P117">
        <v>32.267279</v>
      </c>
      <c r="Q117">
        <v>-64.827915</v>
      </c>
    </row>
    <row r="118" xml:space="preserve">
      <c r="A118" t="str">
        <v>BR0094-21</v>
      </c>
      <c r="B118" t="str" xml:space="preserve">
        <v xml:space="preserve">8 Holly Lane_x000d__x000d_
Smiths, BM FL04, Mexico</v>
      </c>
      <c r="C118" t="str">
        <v>Building - Residential</v>
      </c>
      <c r="D118" t="str">
        <v>Complete</v>
      </c>
      <c r="E118">
        <v>44334</v>
      </c>
      <c r="F118" t="str">
        <v>Proposed Two Storey Addition Comprising of 2 Additional Bedrooms, Media Room, Studio,  and New Swimming Pool.  *Revision* (1) 1. Security fence relocation  2.pool pump room relocation 3. french doors to replace double window  4.photovoltaic array addition 10 panels @ 360W/panel; 180 sq ft total; 3.6 Total Output</v>
      </c>
      <c r="G118">
        <v>3.6</v>
      </c>
      <c r="H118" t="str">
        <v>Building Residential</v>
      </c>
      <c r="I118">
        <v>44299</v>
      </c>
      <c r="J118">
        <v>44950</v>
      </c>
      <c r="K118" t="str">
        <v>Smiths</v>
      </c>
      <c r="L118">
        <v>46160</v>
      </c>
      <c r="M118">
        <v>44958</v>
      </c>
      <c r="N118" t="str">
        <v/>
      </c>
      <c r="O118" t="str">
        <v>Yes</v>
      </c>
      <c r="P118">
        <v>32.320226</v>
      </c>
      <c r="Q118">
        <v>-64.7395011</v>
      </c>
    </row>
    <row r="119" xml:space="preserve">
      <c r="A119" t="str">
        <v>B0255-21</v>
      </c>
      <c r="B119" t="str" xml:space="preserve">
        <v xml:space="preserve">14 Windy Bank_x000d__x000d_
Smiths, BM FL02, Mexico</v>
      </c>
      <c r="C119" t="str">
        <v>Permitted Development</v>
      </c>
      <c r="D119" t="str">
        <v>Complete</v>
      </c>
      <c r="E119">
        <v>44340</v>
      </c>
      <c r="F119" t="str">
        <v>Roof Mounted Solar, 13 - 320W Panels, (4.16),  Annual Production 5,339.5 h, Area of Panels 234.63 Sq. Ft.</v>
      </c>
      <c r="G119">
        <v>4.16</v>
      </c>
      <c r="H119" t="str">
        <v>Residential</v>
      </c>
      <c r="I119">
        <v>44316</v>
      </c>
      <c r="J119">
        <v>44384</v>
      </c>
      <c r="K119" t="str">
        <v>Smiths</v>
      </c>
      <c r="L119">
        <v>46167</v>
      </c>
      <c r="M119">
        <v>44384</v>
      </c>
      <c r="N119" t="str">
        <v/>
      </c>
      <c r="O119" t="str">
        <v>Yes</v>
      </c>
      <c r="P119">
        <v>32.314782</v>
      </c>
      <c r="Q119">
        <v>-64.743554</v>
      </c>
    </row>
    <row r="120" xml:space="preserve">
      <c r="A120" t="str">
        <v>B0256-21</v>
      </c>
      <c r="B120" t="str" xml:space="preserve">
        <v xml:space="preserve">2 Astwood Road_x000d__x000d_
Paget, BM DV04, Mexico</v>
      </c>
      <c r="C120" t="str">
        <v>Permitted Development</v>
      </c>
      <c r="D120" t="str">
        <v>Complete</v>
      </c>
      <c r="E120">
        <v>44350</v>
      </c>
      <c r="F120" t="str">
        <v>Roof Mounted Solar, 26 - 320W Panels, (8.32),  Annual Production 11,653.1 h, Area of Panels 412.81 Sq. Ft.</v>
      </c>
      <c r="G120">
        <v>8.32</v>
      </c>
      <c r="H120" t="str">
        <v>Residential</v>
      </c>
      <c r="I120">
        <v>44316</v>
      </c>
      <c r="J120">
        <v>44750</v>
      </c>
      <c r="K120" t="str">
        <v>Paget</v>
      </c>
      <c r="L120">
        <v>46176</v>
      </c>
      <c r="M120">
        <v>44749</v>
      </c>
      <c r="N120" t="str">
        <v/>
      </c>
      <c r="O120" t="str">
        <v>Yes</v>
      </c>
      <c r="P120">
        <v>32.289628</v>
      </c>
      <c r="Q120">
        <v>-64.766077</v>
      </c>
    </row>
    <row r="121" xml:space="preserve">
      <c r="A121" t="str">
        <v>B0318-21</v>
      </c>
      <c r="B121" t="str" xml:space="preserve">
        <v xml:space="preserve">51 St. David's Road Unit: A_x000d__x000d_
St. George's, DD01</v>
      </c>
      <c r="C121" t="str">
        <v>Permitted Development</v>
      </c>
      <c r="D121" t="str">
        <v>Complete</v>
      </c>
      <c r="E121">
        <v>44363</v>
      </c>
      <c r="F121" t="str">
        <v>roof mounted solar PV system -371 sqft; 19 x 350W Modules, System Capacity: 6.65 Annual Output: 9334h</v>
      </c>
      <c r="G121">
        <v>6.65</v>
      </c>
      <c r="H121" t="str">
        <v>Residential</v>
      </c>
      <c r="I121">
        <v>44351</v>
      </c>
      <c r="J121">
        <v>44728</v>
      </c>
      <c r="K121" t="str">
        <v>St. George</v>
      </c>
      <c r="L121">
        <v>46189</v>
      </c>
      <c r="M121">
        <v>44728</v>
      </c>
      <c r="N121" t="str">
        <v/>
      </c>
      <c r="O121" t="str">
        <v>Yes</v>
      </c>
      <c r="P121">
        <v>32.365483</v>
      </c>
      <c r="Q121">
        <v>-64.664436</v>
      </c>
    </row>
    <row r="122" xml:space="preserve">
      <c r="A122" t="str">
        <v>B0283-21</v>
      </c>
      <c r="B122" t="str" xml:space="preserve">
        <v xml:space="preserve">4 Salt Kettle Road_x000d__x000d_
Paget, PG01</v>
      </c>
      <c r="C122" t="str">
        <v>Permitted Development</v>
      </c>
      <c r="D122" t="str">
        <v>Complete</v>
      </c>
      <c r="E122">
        <v>44372</v>
      </c>
      <c r="F122" t="str" xml:space="preserve">
        <v xml:space="preserve">roof mounted solar PV system -  817 sqft; 44 x 340W modules; System Capacity: 14.96_x000d__x000d_
Annual Output: 20397h *Revision 1: Two (2) roof mounted solar PV systems - 725sqft total_x000d__x000d_
Main House: 33x340W modules, System Capacity: 11.22, 551sqft _x000d__x000d_
Apt: 11x340W modules, System Capacity: 3.74, 184sqft</v>
      </c>
      <c r="G122">
        <v>14.96</v>
      </c>
      <c r="H122" t="str">
        <v>Residential</v>
      </c>
      <c r="I122">
        <v>44329</v>
      </c>
      <c r="J122">
        <v>44504</v>
      </c>
      <c r="K122" t="str">
        <v>Paget</v>
      </c>
      <c r="L122">
        <v>46198</v>
      </c>
      <c r="M122">
        <v>44482</v>
      </c>
      <c r="N122" t="str">
        <v/>
      </c>
      <c r="O122" t="str">
        <v>Yes</v>
      </c>
      <c r="P122">
        <v>32.2834138</v>
      </c>
      <c r="Q122">
        <v>-64.7930616</v>
      </c>
    </row>
    <row r="123" xml:space="preserve">
      <c r="A123" t="str">
        <v>BR0183-21</v>
      </c>
      <c r="B123" t="str" xml:space="preserve">
        <v xml:space="preserve">13 Inglewood Lane_x000d__x000d_
Paget, PG06</v>
      </c>
      <c r="C123" t="str">
        <v>Building - Residential</v>
      </c>
      <c r="D123" t="str">
        <v>Complete</v>
      </c>
      <c r="E123">
        <v>44410</v>
      </c>
      <c r="F123" t="str" xml:space="preserve">
        <v xml:space="preserve">Proposed Roof Mounted Solar PV System: 42 x 400W Panels 798.84 Sq. ft. Total Capacity 16.8  SYSTEM _x000d_
4 Tesla Powerwall Batteries 13.5h Storage Capacity Each Battery 54h Storage Capacity Total_x000d_
 (Listed Building)</v>
      </c>
      <c r="G123">
        <v>16.8</v>
      </c>
      <c r="H123" t="str">
        <v>Building Residential</v>
      </c>
      <c r="I123">
        <v>44389</v>
      </c>
      <c r="J123">
        <v>44460</v>
      </c>
      <c r="K123" t="str">
        <v>Paget</v>
      </c>
      <c r="L123">
        <v>46237</v>
      </c>
      <c r="M123">
        <v>44459</v>
      </c>
      <c r="N123" t="str">
        <v/>
      </c>
      <c r="O123" t="str">
        <v>Yes</v>
      </c>
      <c r="P123">
        <v>32.284923</v>
      </c>
      <c r="Q123">
        <v>-64.765395</v>
      </c>
    </row>
    <row r="124" xml:space="preserve">
      <c r="A124" t="str">
        <v>BC0074-21</v>
      </c>
      <c r="B124" t="str" xml:space="preserve">
        <v xml:space="preserve">25 Pomander Road_x000d__x000d_
Paget, PG05</v>
      </c>
      <c r="C124" t="str">
        <v>Building - Commercial</v>
      </c>
      <c r="D124" t="str">
        <v>Complete</v>
      </c>
      <c r="E124">
        <v>44427</v>
      </c>
      <c r="F124" t="str">
        <v xml:space="preserve">Proposed Installation of PV Solar Panels on Roof (178 Panels x 360 Watts), System Output 64.08  , Total Coverage 3087 sq. ft. *Revised: 84 panels @ 360W per panel; Total DC output 30.24 </v>
      </c>
      <c r="G124">
        <v>64.08</v>
      </c>
      <c r="H124" t="str">
        <v>Building Commercial</v>
      </c>
      <c r="I124">
        <v>44329</v>
      </c>
      <c r="J124">
        <v>45681</v>
      </c>
      <c r="K124" t="str">
        <v>Paget</v>
      </c>
      <c r="L124">
        <v>46253</v>
      </c>
      <c r="M124">
        <v>45597</v>
      </c>
      <c r="N124" t="str">
        <v/>
      </c>
      <c r="O124" t="str">
        <v>Yes</v>
      </c>
      <c r="P124">
        <v>32.291161</v>
      </c>
      <c r="Q124">
        <v>-64.77411</v>
      </c>
    </row>
    <row r="125" xml:space="preserve">
      <c r="A125" t="str">
        <v>BR0184-21</v>
      </c>
      <c r="B125" t="str" xml:space="preserve">
        <v xml:space="preserve">19 Stowe Hill_x000d__x000d_
Paget, PG05</v>
      </c>
      <c r="C125" t="str">
        <v>Building - Residential</v>
      </c>
      <c r="D125" t="str">
        <v>Complete</v>
      </c>
      <c r="E125">
        <v>44446</v>
      </c>
      <c r="F125" t="str">
        <v>Proposed Ground Mounted Installation of 16 Solar Panels: 400 Watts per Panel; 304.32 sq ft of Total Coverage; 6.4  System (Listed Building)</v>
      </c>
      <c r="G125">
        <v>6.4</v>
      </c>
      <c r="H125" t="str">
        <v>Building Residential</v>
      </c>
      <c r="I125">
        <v>44389</v>
      </c>
      <c r="J125">
        <v>44623</v>
      </c>
      <c r="K125" t="str">
        <v>Paget</v>
      </c>
      <c r="L125">
        <v>46272</v>
      </c>
      <c r="M125">
        <v>44613</v>
      </c>
      <c r="N125" t="str">
        <v/>
      </c>
      <c r="O125" t="str">
        <v>Yes</v>
      </c>
      <c r="P125">
        <v>32.288709</v>
      </c>
      <c r="Q125">
        <v>-64.77274</v>
      </c>
    </row>
    <row r="126" xml:space="preserve">
      <c r="A126" t="str">
        <v>BR0182-21</v>
      </c>
      <c r="B126" t="str" xml:space="preserve">
        <v xml:space="preserve">54 St. Anne's Road_x000d__x000d_
Southampton, BM SN02, Bermuda</v>
      </c>
      <c r="C126" t="str">
        <v>Building - Residential</v>
      </c>
      <c r="D126" t="str">
        <v>Under Construction</v>
      </c>
      <c r="E126">
        <v>44452</v>
      </c>
      <c r="F126" t="str">
        <v>Proposed New 2 Bedroom Residence With 2 Bedroom Apartment, New Storage Room And Carport, Associated Landscape, Retaining Walls (Max 30 in. High), Rock Cut (Max 6 ft. Depth), 4 ft. High Boundary Fence, Roof Mounted Solar PV Panels 30 panels, 583.5 sq. ft., 8.64. *Revision* (1) Minor revisions to electrical room, pv arrays (38 panels @ 490W/panel, 959.31 sq. ft., 18.62) and renewable energy specifications - T-01, A-01, A-06 &amp; A-12. *Revision 2: Freestanding driveway entry wall *Revision 2: Lower Stables Building spot elevation by 3 feet &amp; associated excavation and fill redistribution *Revision 3: Raise height of stables pergola - *Revision* (4) Add one 10 h SolarEdge battery to existing system.  *Revision* 4 - Grading, Rockcut &amp; Fencing for new Paddock.    *Revision* (5) 30 modules @ 490 W/panel; 25.26 sq ft/panel; Total DC output 14.7 ; Total panel area 757.8 sq ft; Estimated Annual Yield 21,544 h. Total AC output, 13.6. 2 SolarEdge 10h Batteries</v>
      </c>
      <c r="G126">
        <v>13.6</v>
      </c>
      <c r="H126" t="str">
        <v>Building Residential</v>
      </c>
      <c r="I126">
        <v>44389</v>
      </c>
      <c r="J126" t="str">
        <v/>
      </c>
      <c r="K126" t="str">
        <v>Southampton</v>
      </c>
      <c r="L126">
        <v>46279</v>
      </c>
      <c r="M126">
        <v>46189</v>
      </c>
      <c r="N126" t="str">
        <v/>
      </c>
      <c r="O126" t="str">
        <v>Yes</v>
      </c>
      <c r="P126">
        <v>32.252556</v>
      </c>
      <c r="Q126">
        <v>-64.838157</v>
      </c>
    </row>
    <row r="127" xml:space="preserve">
      <c r="A127" t="str">
        <v>BR0235-21</v>
      </c>
      <c r="B127" t="str" xml:space="preserve">
        <v xml:space="preserve">22 Crossfield Drive_x000d__x000d_
Sandys, MA03</v>
      </c>
      <c r="C127" t="str">
        <v>Building - Residential</v>
      </c>
      <c r="D127" t="str">
        <v>Issued</v>
      </c>
      <c r="E127">
        <v>44467</v>
      </c>
      <c r="F127" t="str">
        <v>Renovations to Existing House Consisting of Addition of New Batoom, Bedroom, Porch, Basement, Master Bedroom and Batoom, Family Room Along with Garage and Workshop. Solar PV System; 350 Watt, 9 Solar Panels, 383.77 sq. ft. Coverage, 3.15  System.</v>
      </c>
      <c r="G127">
        <v>3.15</v>
      </c>
      <c r="H127" t="str">
        <v>Building Residential</v>
      </c>
      <c r="I127">
        <v>44440</v>
      </c>
      <c r="J127" t="str">
        <v/>
      </c>
      <c r="K127" t="str">
        <v>Sandys</v>
      </c>
      <c r="L127">
        <v>46293</v>
      </c>
      <c r="M127" t="str">
        <v/>
      </c>
      <c r="N127" t="str">
        <v/>
      </c>
      <c r="O127" t="str">
        <v>Yes</v>
      </c>
      <c r="P127">
        <v>32.301287</v>
      </c>
      <c r="Q127">
        <v>-64.875793</v>
      </c>
    </row>
    <row r="128" xml:space="preserve">
      <c r="A128" t="str">
        <v>BR0202-21</v>
      </c>
      <c r="B128" t="str" xml:space="preserve">
        <v xml:space="preserve">16 Fairways Road_x000d__x000d_
Warwick, BM WK04, Bermuda</v>
      </c>
      <c r="C128" t="str">
        <v>Building - Residential</v>
      </c>
      <c r="D128" t="str">
        <v>Complete</v>
      </c>
      <c r="E128">
        <v>44476</v>
      </c>
      <c r="F128" t="str" xml:space="preserve">
        <v xml:space="preserve">Proposed Two Storey Main House with Attached Cottage (2 Units Total.) Pool with Max 4 ft. Security Barrier Fence and Wall, Covered Outdoor Kitchen/Bar, Pickle Ball Court, Carport/ Driveway, Fire Pit, Roof Mounted Solar Panel Array 57 x 340 Watts Each 1,044 Sq. ft. in area and 19.38  Total. Bulk Gas Storage (3 ft. Max Height).  _x000d__x000d_
 *Revision* (1) Relocate approved pickle ball court.</v>
      </c>
      <c r="G128">
        <v>19.38</v>
      </c>
      <c r="H128" t="str">
        <v>Building Residential</v>
      </c>
      <c r="I128">
        <v>44405</v>
      </c>
      <c r="J128">
        <v>45188</v>
      </c>
      <c r="K128" t="str">
        <v>Warwick</v>
      </c>
      <c r="L128">
        <v>46302</v>
      </c>
      <c r="M128">
        <v>45182</v>
      </c>
      <c r="N128" t="str">
        <v/>
      </c>
      <c r="O128" t="str">
        <v>Yes</v>
      </c>
      <c r="P128">
        <v>32.262642</v>
      </c>
      <c r="Q128">
        <v>-64.830564</v>
      </c>
    </row>
    <row r="129" xml:space="preserve">
      <c r="A129" t="str">
        <v>BC0140-21</v>
      </c>
      <c r="B129" t="str" xml:space="preserve">
        <v xml:space="preserve">10 WindReach Lane_x000d__x000d_
Warwick, WK03</v>
      </c>
      <c r="C129" t="str">
        <v>Building - Commercial</v>
      </c>
      <c r="D129" t="str">
        <v>Complete</v>
      </c>
      <c r="E129">
        <v>44476</v>
      </c>
      <c r="F129" t="str">
        <v>Roof Mounted Solar PV System - 706sqft, 38 x 340W Modules, System Capacity: 12.92</v>
      </c>
      <c r="G129">
        <v>12.92</v>
      </c>
      <c r="H129" t="str">
        <v>Building Commercial</v>
      </c>
      <c r="I129">
        <v>44446</v>
      </c>
      <c r="J129">
        <v>44543</v>
      </c>
      <c r="K129" t="str">
        <v>Warwick</v>
      </c>
      <c r="L129">
        <v>46302</v>
      </c>
      <c r="M129">
        <v>44496</v>
      </c>
      <c r="N129" t="str">
        <v/>
      </c>
      <c r="O129" t="str">
        <v>Yes</v>
      </c>
      <c r="P129">
        <v>32.262617</v>
      </c>
      <c r="Q129">
        <v>-64.810158</v>
      </c>
    </row>
    <row r="130" xml:space="preserve">
      <c r="A130" t="str">
        <v>BR0222-21</v>
      </c>
      <c r="B130" t="str" xml:space="preserve">
        <v xml:space="preserve">26 Castile Road_x000d__x000d_
Warwick, BM WK04, Mexico</v>
      </c>
      <c r="C130" t="str">
        <v>Building - Residential</v>
      </c>
      <c r="D130" t="str">
        <v>Complete</v>
      </c>
      <c r="E130">
        <v>44489</v>
      </c>
      <c r="F130" t="str">
        <v>Proposed Single Dwelling Unit (3 bedrooms) with Detached Yoga Gym/Workshop Building, Pool with Height Barrier Fence (4 ft. Max Height), Driveway and Raised Wood Deck (7 ft. Max Height), Boundary Wall (4 ft. Max Height), Roof Mounted Solar Panels (37 x 340 Watts Each) (677 Sq. ft. Area and 12.58  Total) Garage.  *Revision (1)  - Proposed mechanical room basement. Re-site ancillary gym building to the north. 4?-0? high boundary wall added to full length of western boundary. *Revision 2: Building only revision - Proposed Conversion of Existing 3 Bedroom Dwelling Unit into 2 Separate Units via Internal Conversion (2 Units Total). Planning approval (P0211-23)</v>
      </c>
      <c r="G130">
        <v>12.58</v>
      </c>
      <c r="H130" t="str">
        <v>Building Residential</v>
      </c>
      <c r="I130">
        <v>44426</v>
      </c>
      <c r="J130">
        <v>45266</v>
      </c>
      <c r="K130" t="str">
        <v>Warwick</v>
      </c>
      <c r="L130">
        <v>46315</v>
      </c>
      <c r="M130">
        <v>45264</v>
      </c>
      <c r="N130" t="str">
        <v/>
      </c>
      <c r="O130" t="str">
        <v>Yes</v>
      </c>
      <c r="P130">
        <v>32.265839</v>
      </c>
      <c r="Q130">
        <v>-64.829075</v>
      </c>
    </row>
    <row r="131" xml:space="preserve">
      <c r="A131" t="str">
        <v>BC0138-21</v>
      </c>
      <c r="B131" t="str" xml:space="preserve">
        <v xml:space="preserve">56 Church Street_x000d__x000d_
City of Hamilton, HM12</v>
      </c>
      <c r="C131" t="str">
        <v>Building - Commercial</v>
      </c>
      <c r="D131" t="str">
        <v>Complete</v>
      </c>
      <c r="E131">
        <v>44496</v>
      </c>
      <c r="F131" t="str">
        <v>Proposed Installation of PV Solar Panels on Roof (444 Panels x 450 Watts / Total Capacity - 199.8) on 9,705.84 sf.</v>
      </c>
      <c r="G131">
        <v>199.8</v>
      </c>
      <c r="H131" t="str">
        <v>Building Commercial</v>
      </c>
      <c r="I131">
        <v>44440</v>
      </c>
      <c r="J131">
        <v>44916</v>
      </c>
      <c r="K131" t="str">
        <v>City of Hamilton</v>
      </c>
      <c r="L131">
        <v>46322</v>
      </c>
      <c r="M131">
        <v>44915</v>
      </c>
      <c r="N131" t="str">
        <v/>
      </c>
      <c r="O131" t="str">
        <v>Yes</v>
      </c>
      <c r="P131">
        <v>32.2939975</v>
      </c>
      <c r="Q131">
        <v>-64.7824583</v>
      </c>
    </row>
    <row r="132" xml:space="preserve">
      <c r="A132" t="str">
        <v>BR0287-21</v>
      </c>
      <c r="B132" t="str" xml:space="preserve">
        <v xml:space="preserve">3 Wingood Way_x000d__x000d_
Sandys, MA06</v>
      </c>
      <c r="C132" t="str">
        <v>Building - Residential</v>
      </c>
      <c r="D132" t="str">
        <v>Complete</v>
      </c>
      <c r="E132">
        <v>44509</v>
      </c>
      <c r="F132" t="str">
        <v>Proposed Roof Mounted Solar PV System: 31 Panels x 400 Watt; Meter 1: 17 Panels; 323.32 sq ft Coverage; 6.8 System. Meter 2: 14 Panels; 226.28 sq ft. Coverage; 5.6 System. (Listed Building)</v>
      </c>
      <c r="G132">
        <v>12.4</v>
      </c>
      <c r="H132" t="str">
        <v>Building Residential</v>
      </c>
      <c r="I132">
        <v>44481</v>
      </c>
      <c r="J132">
        <v>44816</v>
      </c>
      <c r="K132" t="str">
        <v>Sandys</v>
      </c>
      <c r="L132">
        <v>46335</v>
      </c>
      <c r="M132">
        <v>44781</v>
      </c>
      <c r="N132" t="str">
        <v/>
      </c>
      <c r="O132" t="str">
        <v>Yes</v>
      </c>
      <c r="P132">
        <v>32.280111</v>
      </c>
      <c r="Q132">
        <v>-64.873297</v>
      </c>
    </row>
    <row r="133" xml:space="preserve">
      <c r="A133" t="str">
        <v>BC0154-21</v>
      </c>
      <c r="B133" t="str" xml:space="preserve">
        <v xml:space="preserve">6 College Rise_x000d__x000d_
Paget, PG04</v>
      </c>
      <c r="C133" t="str">
        <v>Building - Commercial</v>
      </c>
      <c r="D133" t="str">
        <v>Issued</v>
      </c>
      <c r="E133">
        <v>44509</v>
      </c>
      <c r="F133" t="str">
        <v>Roof Mounted Solar PV System 5806 sq ft, 272 x 400W Modules, System Capacity: 108.8</v>
      </c>
      <c r="G133">
        <v>108.8</v>
      </c>
      <c r="H133" t="str">
        <v>Building Commercial</v>
      </c>
      <c r="I133">
        <v>44474</v>
      </c>
      <c r="J133" t="str">
        <v/>
      </c>
      <c r="K133" t="str">
        <v>Paget</v>
      </c>
      <c r="L133">
        <v>46335</v>
      </c>
      <c r="M133" t="str">
        <v/>
      </c>
      <c r="N133" t="str">
        <v/>
      </c>
      <c r="O133" t="str">
        <v>Yes</v>
      </c>
      <c r="P133">
        <v>32.278732</v>
      </c>
      <c r="Q133">
        <v>-64.776298</v>
      </c>
    </row>
    <row r="134" xml:space="preserve">
      <c r="A134" t="str">
        <v>B0591-21</v>
      </c>
      <c r="B134" t="str" xml:space="preserve">
        <v xml:space="preserve">6 Flat Rock Close_x000d__x000d_
Pembroke, HM01</v>
      </c>
      <c r="C134" t="str">
        <v>Permitted Development</v>
      </c>
      <c r="D134" t="str">
        <v>Complete</v>
      </c>
      <c r="E134">
        <v>44522</v>
      </c>
      <c r="F134" t="str">
        <v>Erection of a Prefabricated Pergola and Install 10 Solar Panels on the Newly Constructed Pergola 350W 19.51 sq ft/Panel Total System 3.5 195.1 sq ft Total.</v>
      </c>
      <c r="G134">
        <v>3.5</v>
      </c>
      <c r="H134" t="str">
        <v>Residential</v>
      </c>
      <c r="I134">
        <v>44515</v>
      </c>
      <c r="J134">
        <v>44764</v>
      </c>
      <c r="K134" t="str">
        <v>Pembroke</v>
      </c>
      <c r="L134">
        <v>46349</v>
      </c>
      <c r="M134">
        <v>44764</v>
      </c>
      <c r="N134" t="str">
        <v/>
      </c>
      <c r="O134" t="str">
        <v>Yes</v>
      </c>
      <c r="P134">
        <v>32.3065822</v>
      </c>
      <c r="Q134">
        <v>-64.8113916</v>
      </c>
    </row>
    <row r="135" xml:space="preserve">
      <c r="A135" t="str">
        <v>BR0264-21</v>
      </c>
      <c r="B135" t="str" xml:space="preserve">
        <v xml:space="preserve">12 Pitts Bay Road_x000d__x000d_
Pembroke, HM05</v>
      </c>
      <c r="C135" t="str">
        <v>Building - Residential</v>
      </c>
      <c r="D135" t="str">
        <v>Complete</v>
      </c>
      <c r="E135">
        <v>44529</v>
      </c>
      <c r="F135" t="str">
        <v xml:space="preserve">Roof Mounted Solar PV System 836 sq ft, 45 x 340W Modules, System Capacity: 15.3, Wall Mounted Battery Storage System 30 </v>
      </c>
      <c r="G135">
        <v>15.3</v>
      </c>
      <c r="H135" t="str">
        <v>Building Residential</v>
      </c>
      <c r="I135">
        <v>44466</v>
      </c>
      <c r="J135">
        <v>44715</v>
      </c>
      <c r="K135" t="str">
        <v>Pembroke</v>
      </c>
      <c r="L135">
        <v>46356</v>
      </c>
      <c r="M135">
        <v>44714</v>
      </c>
      <c r="N135" t="str">
        <v/>
      </c>
      <c r="O135" t="str">
        <v>Yes</v>
      </c>
      <c r="P135">
        <v>32.298089</v>
      </c>
      <c r="Q135">
        <v>-64.797264</v>
      </c>
    </row>
    <row r="136" xml:space="preserve">
      <c r="A136" t="str">
        <v>BC0188-21</v>
      </c>
      <c r="B136" t="str" xml:space="preserve">
        <v xml:space="preserve">19 Dundonald Street West_x000d__x000d_
City of Hamilton, HM09</v>
      </c>
      <c r="C136" t="str">
        <v>Building - Commercial</v>
      </c>
      <c r="D136" t="str">
        <v>Complete</v>
      </c>
      <c r="E136">
        <v>44588</v>
      </c>
      <c r="F136" t="str">
        <v>Roof Mounted Solar PV system - 7876 sq ft, 424 x 340W Modules, System Capacity: 144.16</v>
      </c>
      <c r="G136">
        <v>144.16</v>
      </c>
      <c r="H136" t="str">
        <v>Building Commercial</v>
      </c>
      <c r="I136">
        <v>44539</v>
      </c>
      <c r="J136">
        <v>44819</v>
      </c>
      <c r="K136" t="str">
        <v>City of Hamilton</v>
      </c>
      <c r="L136">
        <v>46414</v>
      </c>
      <c r="M136">
        <v>44818</v>
      </c>
      <c r="N136" t="str">
        <v/>
      </c>
      <c r="O136" t="str">
        <v>Yes</v>
      </c>
      <c r="P136">
        <v>32.296082</v>
      </c>
      <c r="Q136">
        <v>-64.785134</v>
      </c>
    </row>
    <row r="137" xml:space="preserve">
      <c r="A137" t="str">
        <v>BR0009-22</v>
      </c>
      <c r="B137" t="str" xml:space="preserve">
        <v xml:space="preserve">23 Middle Road_x000d__x000d_
Paget, PG02</v>
      </c>
      <c r="C137" t="str">
        <v>Building - Residential</v>
      </c>
      <c r="D137" t="str">
        <v>Complete</v>
      </c>
      <c r="E137">
        <v>44620</v>
      </c>
      <c r="F137" t="str">
        <v>Roof Mounted Solar PV System - 117 sq ft, 6x350W Modules, System Capacity: 2.1</v>
      </c>
      <c r="G137">
        <v>2.1</v>
      </c>
      <c r="H137" t="str">
        <v>Building Residential</v>
      </c>
      <c r="I137">
        <v>44578</v>
      </c>
      <c r="J137">
        <v>44638</v>
      </c>
      <c r="K137" t="str">
        <v>Paget</v>
      </c>
      <c r="L137">
        <v>46447</v>
      </c>
      <c r="M137">
        <v>44637</v>
      </c>
      <c r="N137" t="str">
        <v/>
      </c>
      <c r="O137" t="str">
        <v>Yes</v>
      </c>
      <c r="P137">
        <v>32.2796943</v>
      </c>
      <c r="Q137">
        <v>-64.78902</v>
      </c>
    </row>
    <row r="138" xml:space="preserve">
      <c r="A138" t="str">
        <v>BR0003-22</v>
      </c>
      <c r="B138" t="str" xml:space="preserve">
        <v xml:space="preserve">3 Windy Ridge Road_x000d__x000d_
Warwick, PG01</v>
      </c>
      <c r="C138" t="str">
        <v>Building - Residential</v>
      </c>
      <c r="D138" t="str">
        <v>Complete</v>
      </c>
      <c r="E138">
        <v>44621</v>
      </c>
      <c r="F138" t="str">
        <v>Roof Mounted Solar PV System - 449 sq ft, 23x350W Modules, System Capacity: 8.05, Wall Mounted Battery Storage - 10h</v>
      </c>
      <c r="G138">
        <v>8.05</v>
      </c>
      <c r="H138" t="str">
        <v>Building Residential</v>
      </c>
      <c r="I138">
        <v>44566</v>
      </c>
      <c r="J138">
        <v>44643</v>
      </c>
      <c r="K138" t="str">
        <v>Warwick</v>
      </c>
      <c r="L138">
        <v>46447</v>
      </c>
      <c r="M138">
        <v>44643</v>
      </c>
      <c r="N138" t="str">
        <v/>
      </c>
      <c r="O138" t="str">
        <v>Yes</v>
      </c>
      <c r="P138">
        <v>32.278724</v>
      </c>
      <c r="Q138">
        <v>-64.797621</v>
      </c>
    </row>
    <row r="139" xml:space="preserve">
      <c r="A139" t="str">
        <v>BR0038-22</v>
      </c>
      <c r="B139" t="str" xml:space="preserve">
        <v xml:space="preserve">11 Vaughan's Bay Drive_x000d__x000d_
St. George's, DD02</v>
      </c>
      <c r="C139" t="str">
        <v>Building - Residential</v>
      </c>
      <c r="D139" t="str">
        <v>Complete</v>
      </c>
      <c r="E139">
        <v>44621</v>
      </c>
      <c r="F139" t="str">
        <v>Roof Mounted Solar PV System - 293 sq ft, 15x350W Modules, System Capacity: 5.25</v>
      </c>
      <c r="G139">
        <v>5.25</v>
      </c>
      <c r="H139" t="str">
        <v>Building Residential</v>
      </c>
      <c r="I139">
        <v>44606</v>
      </c>
      <c r="J139">
        <v>44643</v>
      </c>
      <c r="K139" t="str">
        <v>St. George</v>
      </c>
      <c r="L139">
        <v>46447</v>
      </c>
      <c r="M139">
        <v>44642</v>
      </c>
      <c r="N139" t="str">
        <v/>
      </c>
      <c r="O139" t="str">
        <v>Yes</v>
      </c>
      <c r="P139">
        <v>32.3695125</v>
      </c>
      <c r="Q139">
        <v>-64.6557974</v>
      </c>
    </row>
    <row r="140" xml:space="preserve">
      <c r="A140" t="str">
        <v>BR0026-22</v>
      </c>
      <c r="B140" t="str" xml:space="preserve">
        <v xml:space="preserve">3 Seabright Avenue_x000d__x000d_
Paget, DV04</v>
      </c>
      <c r="C140" t="str">
        <v>Building - Residential</v>
      </c>
      <c r="D140" t="str">
        <v>Complete</v>
      </c>
      <c r="E140">
        <v>44621</v>
      </c>
      <c r="F140" t="str">
        <v>Roof Mounted Solar PV System - 483 sq ft, 26x340W Modules, Wall Mounted Battery Storage - 13h</v>
      </c>
      <c r="G140">
        <v>8.84</v>
      </c>
      <c r="H140" t="str">
        <v>Building Residential</v>
      </c>
      <c r="I140">
        <v>44594</v>
      </c>
      <c r="J140">
        <v>44862</v>
      </c>
      <c r="K140" t="str">
        <v>Paget</v>
      </c>
      <c r="L140">
        <v>46447</v>
      </c>
      <c r="M140">
        <v>44861</v>
      </c>
      <c r="N140" t="str">
        <v/>
      </c>
      <c r="O140" t="str">
        <v>Yes</v>
      </c>
      <c r="P140">
        <v>32.2884612</v>
      </c>
      <c r="Q140">
        <v>-64.7620789</v>
      </c>
    </row>
    <row r="141" xml:space="preserve">
      <c r="A141" t="str">
        <v>BR0035-22</v>
      </c>
      <c r="B141" t="str" xml:space="preserve">
        <v xml:space="preserve">10 Brown Estates Road_x000d__x000d_
Hamilton, CR01</v>
      </c>
      <c r="C141" t="str">
        <v>Building - Residential</v>
      </c>
      <c r="D141" t="str">
        <v>Complete</v>
      </c>
      <c r="E141">
        <v>44622</v>
      </c>
      <c r="F141" t="str">
        <v>Roof Mounted Solar PV System - 163 sq ft, 7x430W Modules, System Capacity: 3.01</v>
      </c>
      <c r="G141">
        <v>3.01</v>
      </c>
      <c r="H141" t="str">
        <v>Building Residential</v>
      </c>
      <c r="I141">
        <v>44603</v>
      </c>
      <c r="J141">
        <v>44766</v>
      </c>
      <c r="K141" t="str">
        <v>Hamilton</v>
      </c>
      <c r="L141">
        <v>46448</v>
      </c>
      <c r="M141">
        <v>44749</v>
      </c>
      <c r="N141" t="str">
        <v/>
      </c>
      <c r="O141" t="str">
        <v>Yes</v>
      </c>
      <c r="P141">
        <v>32.336619</v>
      </c>
      <c r="Q141">
        <v>-64.731023</v>
      </c>
    </row>
    <row r="142" xml:space="preserve">
      <c r="A142" t="str">
        <v>BR0041-22</v>
      </c>
      <c r="B142" t="str" xml:space="preserve">
        <v xml:space="preserve">1 Scarrington Hill_x000d__x000d_
Paget, PG03</v>
      </c>
      <c r="C142" t="str">
        <v>Building - Residential</v>
      </c>
      <c r="D142" t="str">
        <v>Complete</v>
      </c>
      <c r="E142">
        <v>44628</v>
      </c>
      <c r="F142" t="str">
        <v>Roof Mounted Solar PV System - 273 sq ft, 14x350W Modules, System Capacity: 4.9 Wall Mounted Battery Storage - 10h</v>
      </c>
      <c r="G142">
        <v>4.9</v>
      </c>
      <c r="H142" t="str">
        <v>Building Residential</v>
      </c>
      <c r="I142">
        <v>44606</v>
      </c>
      <c r="J142">
        <v>44644</v>
      </c>
      <c r="K142" t="str">
        <v>Paget</v>
      </c>
      <c r="L142">
        <v>46454</v>
      </c>
      <c r="M142">
        <v>44643</v>
      </c>
      <c r="N142" t="str">
        <v/>
      </c>
      <c r="O142" t="str">
        <v>Yes</v>
      </c>
      <c r="P142">
        <v>32.279714</v>
      </c>
      <c r="Q142">
        <v>-64.786672</v>
      </c>
    </row>
    <row r="143" xml:space="preserve">
      <c r="A143" t="str">
        <v>BR0039-22</v>
      </c>
      <c r="B143" t="str" xml:space="preserve">
        <v xml:space="preserve">43 Harbour Road_x000d__x000d_
Paget, PG02</v>
      </c>
      <c r="C143" t="str">
        <v>Building - Residential</v>
      </c>
      <c r="D143" t="str">
        <v>Complete</v>
      </c>
      <c r="E143">
        <v>44628</v>
      </c>
      <c r="F143" t="str">
        <v>Roof Mounted Solar PV System - 254 sq ft, 13x350W Modules, System Capacity: 4.55</v>
      </c>
      <c r="G143">
        <v>4.55</v>
      </c>
      <c r="H143" t="str">
        <v>Building Residential</v>
      </c>
      <c r="I143">
        <v>44606</v>
      </c>
      <c r="J143">
        <v>44643</v>
      </c>
      <c r="K143" t="str">
        <v>Paget</v>
      </c>
      <c r="L143">
        <v>46454</v>
      </c>
      <c r="M143">
        <v>44643</v>
      </c>
      <c r="N143" t="str">
        <v/>
      </c>
      <c r="O143" t="str">
        <v>Yes</v>
      </c>
      <c r="P143">
        <v>32.284171</v>
      </c>
      <c r="Q143">
        <v>-64.78565</v>
      </c>
    </row>
    <row r="144" xml:space="preserve">
      <c r="A144" t="str">
        <v>BR0353-21</v>
      </c>
      <c r="B144" t="str" xml:space="preserve">
        <v xml:space="preserve">1 Newport Gardens_x000d__x000d_
Southampton, SN01</v>
      </c>
      <c r="C144" t="str">
        <v>Building - Residential</v>
      </c>
      <c r="D144" t="str">
        <v>Complete</v>
      </c>
      <c r="E144">
        <v>44628</v>
      </c>
      <c r="F144" t="str">
        <v>Proposed Demolish Existing Cottage, Build New Two Storey Cottage to Create a 2-Bedroom (For a Total of 2 Units), Swimming Pool &amp; Deck, Covered Pavilion, Bacash Pit, Rebuild Ex. Retaining Wall, New Driveway Surface, New Solar Panel System 33 x360 Watts; Total 579.15sq. ft. and Total Capacity of 11.88 H</v>
      </c>
      <c r="G144">
        <v>11.88</v>
      </c>
      <c r="H144" t="str">
        <v>Building Residential</v>
      </c>
      <c r="I144">
        <v>44547</v>
      </c>
      <c r="J144">
        <v>45552</v>
      </c>
      <c r="K144" t="str">
        <v>Southampton</v>
      </c>
      <c r="L144">
        <v>46454</v>
      </c>
      <c r="M144">
        <v>45525</v>
      </c>
      <c r="N144" t="str">
        <v/>
      </c>
      <c r="O144" t="str">
        <v>Yes</v>
      </c>
      <c r="P144">
        <v>32.2535266</v>
      </c>
      <c r="Q144">
        <v>-64.8485129</v>
      </c>
    </row>
    <row r="145" xml:space="preserve">
      <c r="A145" t="str">
        <v>B0052-22</v>
      </c>
      <c r="B145" t="str" xml:space="preserve">
        <v xml:space="preserve">4 Barnes Valley_x000d__x000d_
Paget, PG03</v>
      </c>
      <c r="C145" t="str">
        <v>Permitted Development</v>
      </c>
      <c r="D145" t="str">
        <v>Complete</v>
      </c>
      <c r="E145">
        <v>44642</v>
      </c>
      <c r="F145" t="str">
        <v>Proposed Solar Panels to be Installed on Existing Roof: 22 Panels at 400 Watts Each, 418 sq. ft Coverage, 8.8  System Output, 13,140  Annual Output.</v>
      </c>
      <c r="G145">
        <v>8.8</v>
      </c>
      <c r="H145" t="str">
        <v>Residential</v>
      </c>
      <c r="I145">
        <v>44587</v>
      </c>
      <c r="J145">
        <v>44729</v>
      </c>
      <c r="K145" t="str">
        <v>Paget</v>
      </c>
      <c r="L145">
        <v>46468</v>
      </c>
      <c r="M145">
        <v>44700</v>
      </c>
      <c r="N145" t="str">
        <v/>
      </c>
      <c r="O145" t="str">
        <v>Yes</v>
      </c>
      <c r="P145">
        <v>32.281647</v>
      </c>
      <c r="Q145">
        <v>-64.778566</v>
      </c>
    </row>
    <row r="146" xml:space="preserve">
      <c r="A146" t="str">
        <v>BR0060-22</v>
      </c>
      <c r="B146" t="str" xml:space="preserve">
        <v xml:space="preserve">12 Pitts Bay Road_x000d__x000d_
Pembroke, HM05</v>
      </c>
      <c r="C146" t="str">
        <v>Building - Residential</v>
      </c>
      <c r="D146" t="str">
        <v>Complete</v>
      </c>
      <c r="E146">
        <v>44644</v>
      </c>
      <c r="F146" t="str">
        <v>Ground Mounted Solar PV System - 2508 sq ft, 72 x 340W Modules, System Capacity: 24.48</v>
      </c>
      <c r="G146">
        <v>24.48</v>
      </c>
      <c r="H146" t="str">
        <v>Building Residential</v>
      </c>
      <c r="I146">
        <v>44621</v>
      </c>
      <c r="J146">
        <v>44622</v>
      </c>
      <c r="K146" t="str">
        <v>Pembroke</v>
      </c>
      <c r="L146">
        <v>46470</v>
      </c>
      <c r="M146">
        <v>44728</v>
      </c>
      <c r="N146" t="str">
        <v/>
      </c>
      <c r="O146" t="str">
        <v>Yes</v>
      </c>
      <c r="P146">
        <v>32.298089</v>
      </c>
      <c r="Q146">
        <v>-64.797264</v>
      </c>
    </row>
    <row r="147" xml:space="preserve">
      <c r="A147" t="str">
        <v>BR0013-22</v>
      </c>
      <c r="B147" t="str" xml:space="preserve">
        <v xml:space="preserve">36 Horseshoe Road_x000d__x000d_
Southampton, SN04</v>
      </c>
      <c r="C147" t="str">
        <v>Building - Residential</v>
      </c>
      <c r="D147" t="str">
        <v>Complete</v>
      </c>
      <c r="E147">
        <v>44645</v>
      </c>
      <c r="F147" t="str">
        <v>Roof Mounted Solar PV System - 390 sq ft, 20x350W Modules, System Capacity: 7</v>
      </c>
      <c r="G147">
        <v>7</v>
      </c>
      <c r="H147" t="str">
        <v>Building Residential</v>
      </c>
      <c r="I147">
        <v>44580</v>
      </c>
      <c r="J147">
        <v>44700</v>
      </c>
      <c r="K147" t="str">
        <v>Southampton</v>
      </c>
      <c r="L147">
        <v>46471</v>
      </c>
      <c r="M147">
        <v>44699</v>
      </c>
      <c r="N147" t="str">
        <v/>
      </c>
      <c r="O147" t="str">
        <v>Yes</v>
      </c>
      <c r="P147">
        <v>32.258547</v>
      </c>
      <c r="Q147">
        <v>-64.819854</v>
      </c>
    </row>
    <row r="148" xml:space="preserve">
      <c r="A148" t="str">
        <v>B0499-21</v>
      </c>
      <c r="B148" t="str" xml:space="preserve">
        <v xml:space="preserve">7 Granaway Heights Road_x000d__x000d_
Southampton, BM SB04, Bermuda</v>
      </c>
      <c r="C148" t="str">
        <v>Permitted Development</v>
      </c>
      <c r="D148" t="str">
        <v>Complete</v>
      </c>
      <c r="E148">
        <v>44673</v>
      </c>
      <c r="F148" t="str">
        <v>Ground Mount Solar System, 330 Solar Panel Square Footage Area, 14 Modular Solar Panel System, Each Modular Solar Panel Has a 23.03 Square Footage Area, Each Panel has a 415 Wattage Output Power, Total System Output Power is 5,810 Watts. 6 (Generac PWR Cell) x Batteries (1.27  Each). Battery Capacity - 3h (Total Battery Capacity - 18 / 7.6 )</v>
      </c>
      <c r="G148">
        <v>4.62</v>
      </c>
      <c r="H148" t="str">
        <v>Residential</v>
      </c>
      <c r="I148">
        <v>44456</v>
      </c>
      <c r="J148">
        <v>44761</v>
      </c>
      <c r="K148" t="str">
        <v>Southampton</v>
      </c>
      <c r="L148">
        <v>46499</v>
      </c>
      <c r="M148">
        <v>44760</v>
      </c>
      <c r="N148" t="str">
        <v/>
      </c>
      <c r="O148" t="str">
        <v>Yes</v>
      </c>
      <c r="P148">
        <v>32.252166</v>
      </c>
      <c r="Q148">
        <v>-64.861302</v>
      </c>
    </row>
    <row r="149" xml:space="preserve">
      <c r="A149" t="str">
        <v>B0500-21</v>
      </c>
      <c r="B149" t="str" xml:space="preserve">
        <v xml:space="preserve">1 Glenwood Park Lane_x000d__x000d_
Warwick, BM WK08, Bermuda</v>
      </c>
      <c r="C149" t="str">
        <v>Permitted Development</v>
      </c>
      <c r="D149" t="str">
        <v>Complete</v>
      </c>
      <c r="E149">
        <v>44676</v>
      </c>
      <c r="F149" t="str">
        <v>Roof Mount Solar System; 330 Solar Panel Square Footage Area, 4 Modular Solar Panel System, Each Modular Solar Panel has a 23.03 Square Footage Area, Each Panel has a 415 Wattage Output Power, Total System Output Power is 5,810 Watts. 6 (Generac PWR Cell) x Batteries (1.27  Each). Battery Capacity - 3h (Total Battery Capacity - 18 / 7.6 )</v>
      </c>
      <c r="G149">
        <v>5.81</v>
      </c>
      <c r="H149" t="str">
        <v>Residential</v>
      </c>
      <c r="I149">
        <v>44456</v>
      </c>
      <c r="J149">
        <v>44761</v>
      </c>
      <c r="K149" t="str">
        <v>Warwick</v>
      </c>
      <c r="L149">
        <v>46503</v>
      </c>
      <c r="M149">
        <v>44760</v>
      </c>
      <c r="N149" t="str">
        <v/>
      </c>
      <c r="O149" t="str">
        <v>Yes</v>
      </c>
      <c r="P149">
        <v>32.267712</v>
      </c>
      <c r="Q149">
        <v>-64.796189</v>
      </c>
    </row>
    <row r="150" xml:space="preserve">
      <c r="A150" t="str">
        <v>B0173-22</v>
      </c>
      <c r="B150" t="str" xml:space="preserve">
        <v xml:space="preserve">31 Melville Road_x000d__x000d_
Devonshire, DV07</v>
      </c>
      <c r="C150" t="str">
        <v>Permitted Development</v>
      </c>
      <c r="D150" t="str">
        <v>Complete</v>
      </c>
      <c r="E150">
        <v>44677</v>
      </c>
      <c r="F150" t="str">
        <v>Addition of Roof Mounted PV Solar (14 modules @ 370w Each, Total Wattage; 5180, Total Area of Modules, 252sf, Estimated Annual Output; 8117h.</v>
      </c>
      <c r="G150">
        <v>5.18</v>
      </c>
      <c r="H150" t="str">
        <v>Residential</v>
      </c>
      <c r="I150">
        <v>44655</v>
      </c>
      <c r="J150">
        <v>44704</v>
      </c>
      <c r="K150" t="str">
        <v>Devonshire</v>
      </c>
      <c r="L150">
        <v>46503</v>
      </c>
      <c r="M150">
        <v>44701</v>
      </c>
      <c r="N150" t="str">
        <v/>
      </c>
      <c r="O150" t="str">
        <v>Yes</v>
      </c>
      <c r="P150">
        <v>32.302289</v>
      </c>
      <c r="Q150">
        <v>-64.753397</v>
      </c>
    </row>
    <row r="151" xml:space="preserve">
      <c r="A151" t="str">
        <v>BC0155-21</v>
      </c>
      <c r="B151" t="str" xml:space="preserve">
        <v xml:space="preserve">56 St. John's Road_x000d__x000d_
Pembroke, BM HM07, Mexico</v>
      </c>
      <c r="C151" t="str">
        <v>Building - Commercial</v>
      </c>
      <c r="D151" t="str">
        <v>Under Construction</v>
      </c>
      <c r="E151">
        <v>44680</v>
      </c>
      <c r="F151" t="str">
        <v>Proposed New Pedestrian Gate, Storage Rooms, Pit and New Changing Rooms and Installation of 288 Panels x 405 Watts - Total Capacity 116.6 Ground Mounted Solar Panel Array, Transformer, Pump and Electrical Panel Rooms. *Revision 1: Addition to electrical room</v>
      </c>
      <c r="G151">
        <v>116.6</v>
      </c>
      <c r="H151" t="str">
        <v>Building Commercial</v>
      </c>
      <c r="I151">
        <v>44475</v>
      </c>
      <c r="J151" t="str">
        <v/>
      </c>
      <c r="K151" t="str">
        <v>Pembroke</v>
      </c>
      <c r="L151">
        <v>46506</v>
      </c>
      <c r="M151">
        <v>45863</v>
      </c>
      <c r="N151" t="str">
        <v/>
      </c>
      <c r="O151" t="str">
        <v>Yes</v>
      </c>
      <c r="P151">
        <v>32.3010628</v>
      </c>
      <c r="Q151">
        <v>-64.7938283</v>
      </c>
    </row>
    <row r="152" xml:space="preserve">
      <c r="A152" t="str">
        <v>BR0088-22</v>
      </c>
      <c r="B152" t="str" xml:space="preserve">
        <v xml:space="preserve">12 Leacraft Hill Road_x000d__x000d_
Southampton, SB03</v>
      </c>
      <c r="C152" t="str">
        <v>Building - Residential</v>
      </c>
      <c r="D152" t="str">
        <v>Complete</v>
      </c>
      <c r="E152">
        <v>44683</v>
      </c>
      <c r="F152" t="str">
        <v>Proposed Driveway Alterations and Resurfacing, 6'-0" Max Height PVC Perimeter Fences, 4'-0" PVC Entry Gates and 5'-2" Column, 9'-6" max height wall. Roof Mounted Solar PV System 19x 350 Watts Panels; 371Sqft Total Capacity 6.65 h with Encharge 10 Battery Storage and Switch</v>
      </c>
      <c r="G152">
        <v>6.65</v>
      </c>
      <c r="H152" t="str">
        <v>Building Residential</v>
      </c>
      <c r="I152">
        <v>44650</v>
      </c>
      <c r="J152">
        <v>45622</v>
      </c>
      <c r="K152" t="str">
        <v>Southampton</v>
      </c>
      <c r="L152">
        <v>46510</v>
      </c>
      <c r="M152">
        <v>45558</v>
      </c>
      <c r="N152" t="str">
        <v/>
      </c>
      <c r="O152" t="str">
        <v>Yes</v>
      </c>
      <c r="P152">
        <v>32.260429</v>
      </c>
      <c r="Q152">
        <v>-64.871768</v>
      </c>
    </row>
    <row r="153" xml:space="preserve">
      <c r="A153" t="str">
        <v>B0215-22</v>
      </c>
      <c r="B153" t="str" xml:space="preserve">
        <v xml:space="preserve">6 Aunt Jinny's Lane_x000d__x000d_
St. George's, DD03</v>
      </c>
      <c r="C153" t="str">
        <v>Permitted Development</v>
      </c>
      <c r="D153" t="str">
        <v>Complete</v>
      </c>
      <c r="E153">
        <v>44683</v>
      </c>
      <c r="F153" t="str">
        <v>Proposed Roof Mounted Solar PV System:  8 x435w panels 17.37 sq ft. Total capacity 3480  system.</v>
      </c>
      <c r="G153">
        <v>3.48</v>
      </c>
      <c r="H153" t="str">
        <v>Residential</v>
      </c>
      <c r="I153">
        <v>44676</v>
      </c>
      <c r="J153">
        <v>44705</v>
      </c>
      <c r="K153" t="str">
        <v>St. George</v>
      </c>
      <c r="L153">
        <v>46510</v>
      </c>
      <c r="M153">
        <v>44705</v>
      </c>
      <c r="N153" t="str">
        <v/>
      </c>
      <c r="O153" t="str">
        <v>Yes</v>
      </c>
      <c r="P153">
        <v>32.368196</v>
      </c>
      <c r="Q153">
        <v>-64.673791</v>
      </c>
    </row>
    <row r="154" xml:space="preserve">
      <c r="A154" t="str">
        <v>B0210-22</v>
      </c>
      <c r="B154" t="str" xml:space="preserve">
        <v xml:space="preserve">2 Turtle Place_x000d__x000d_
Southampton, SN03</v>
      </c>
      <c r="C154" t="str">
        <v>Permitted Development</v>
      </c>
      <c r="D154" t="str">
        <v>Issued</v>
      </c>
      <c r="E154">
        <v>44683</v>
      </c>
      <c r="F154" t="str">
        <v>Roof Mounted Solar PV System - 371 sq ft, 19x360W Modules, System Capacity: 6.84</v>
      </c>
      <c r="G154">
        <v>6.84</v>
      </c>
      <c r="H154" t="str">
        <v>Residential</v>
      </c>
      <c r="I154">
        <v>44673</v>
      </c>
      <c r="J154" t="str">
        <v/>
      </c>
      <c r="K154" t="str">
        <v>Southampton</v>
      </c>
      <c r="L154">
        <v>46510</v>
      </c>
      <c r="M154">
        <v>44733</v>
      </c>
      <c r="N154" t="str">
        <v/>
      </c>
      <c r="O154" t="str">
        <v>Yes</v>
      </c>
      <c r="P154">
        <v>32.254371</v>
      </c>
      <c r="Q154">
        <v>-64.822919</v>
      </c>
    </row>
    <row r="155" xml:space="preserve">
      <c r="A155" t="str">
        <v>B0213-22</v>
      </c>
      <c r="B155" t="str" xml:space="preserve">
        <v xml:space="preserve">9 Middle Road_x000d__x000d_
Warwick, WK04</v>
      </c>
      <c r="C155" t="str">
        <v>Permitted Development</v>
      </c>
      <c r="D155" t="str">
        <v>Complete</v>
      </c>
      <c r="E155">
        <v>44683</v>
      </c>
      <c r="F155" t="str">
        <v>Proposed Roof Mounted Solar PV System:21x 435w Panels 450 sq ft. Total Capacity 9140  System. 2 Tesla Power Wall Batteries 13.5  Storage Capacity Each Battery 27h Storage Capacity Total.</v>
      </c>
      <c r="G155">
        <v>9.14</v>
      </c>
      <c r="H155" t="str">
        <v>Residential</v>
      </c>
      <c r="I155">
        <v>44676</v>
      </c>
      <c r="J155">
        <v>44816</v>
      </c>
      <c r="K155" t="str">
        <v>Warwick</v>
      </c>
      <c r="L155">
        <v>46510</v>
      </c>
      <c r="M155">
        <v>44804</v>
      </c>
      <c r="N155" t="str">
        <v/>
      </c>
      <c r="O155" t="str">
        <v>Yes</v>
      </c>
      <c r="P155">
        <v>32.263627</v>
      </c>
      <c r="Q155">
        <v>-64.818196</v>
      </c>
    </row>
    <row r="156" xml:space="preserve">
      <c r="A156" t="str">
        <v>B0211-22</v>
      </c>
      <c r="B156" t="str" xml:space="preserve">
        <v xml:space="preserve">22 Harrington Sound Road_x000d__x000d_
Hamilton, HS02</v>
      </c>
      <c r="C156" t="str">
        <v>Permitted Development</v>
      </c>
      <c r="D156" t="str">
        <v>Complete</v>
      </c>
      <c r="E156">
        <v>44694</v>
      </c>
      <c r="F156" t="str">
        <v>Proposed Roof Mounted Solar PV System:42x 435w panels 900 sqft. Total capacity 18.27  system. 2 Tesla Power Wall Batteries 13.5 h Storage Capacity Each Battery 27h storage capacity total.</v>
      </c>
      <c r="G156">
        <v>18.27</v>
      </c>
      <c r="H156" t="str">
        <v>Residential</v>
      </c>
      <c r="I156">
        <v>44676</v>
      </c>
      <c r="J156">
        <v>44811</v>
      </c>
      <c r="K156" t="str">
        <v>Hamilton</v>
      </c>
      <c r="L156">
        <v>46520</v>
      </c>
      <c r="M156">
        <v>44810</v>
      </c>
      <c r="N156" t="str">
        <v/>
      </c>
      <c r="O156" t="str">
        <v>Yes</v>
      </c>
      <c r="P156">
        <v>32.333198</v>
      </c>
      <c r="Q156">
        <v>-64.707918</v>
      </c>
    </row>
    <row r="157" xml:space="preserve">
      <c r="A157" t="str">
        <v>BR0068-22</v>
      </c>
      <c r="B157" t="str" xml:space="preserve">
        <v xml:space="preserve">10 Cedarberry Drive_x000d__x000d_
Hamilton, CR04</v>
      </c>
      <c r="C157" t="str">
        <v>Building - Residential</v>
      </c>
      <c r="D157" t="str">
        <v>Complete</v>
      </c>
      <c r="E157">
        <v>44699</v>
      </c>
      <c r="F157" t="str">
        <v>SOLAR PV SYSTEM WITH TESLA BATTERY SYSTEM, 400 WATT PANELS, 28 SOLAR PANELS, 546.56 TOTAL SQFT. COVERAGE, 11.2  SYSTEM, TEE (3) TELSA POWERWALL 2 UNITS, 40.5 H TOTAL STORAGE</v>
      </c>
      <c r="G157">
        <v>11.2</v>
      </c>
      <c r="H157" t="str">
        <v>Building Residential</v>
      </c>
      <c r="I157">
        <v>44627</v>
      </c>
      <c r="J157">
        <v>44813</v>
      </c>
      <c r="K157" t="str">
        <v>Hamilton</v>
      </c>
      <c r="L157">
        <v>46525</v>
      </c>
      <c r="M157">
        <v>44803</v>
      </c>
      <c r="N157" t="str">
        <v/>
      </c>
      <c r="O157" t="str">
        <v>Yes</v>
      </c>
      <c r="P157">
        <v>32.34007</v>
      </c>
      <c r="Q157">
        <v>-64.709838</v>
      </c>
    </row>
    <row r="158" xml:space="preserve">
      <c r="A158" t="str">
        <v>B0621-21</v>
      </c>
      <c r="B158" t="str" xml:space="preserve">
        <v xml:space="preserve">7 Rushy Lane_x000d__x000d_
Sandys, MA04</v>
      </c>
      <c r="C158" t="str">
        <v>Permitted Development</v>
      </c>
      <c r="D158" t="str">
        <v>Issued</v>
      </c>
      <c r="E158">
        <v>44700</v>
      </c>
      <c r="F158" t="str">
        <v>Proposed Pergola with Solar Panels Over Existing Patio of Existing Dwelling (Total Number of 12 Solar Panels - Total Area 222.7 sq. ft., Total Solar Panel Power 4080 watts).</v>
      </c>
      <c r="G158">
        <v>4.08</v>
      </c>
      <c r="H158" t="str">
        <v>Residential</v>
      </c>
      <c r="I158">
        <v>44533</v>
      </c>
      <c r="J158" t="str">
        <v/>
      </c>
      <c r="K158" t="str">
        <v>Sandys</v>
      </c>
      <c r="L158">
        <v>46526</v>
      </c>
      <c r="M158" t="str">
        <v/>
      </c>
      <c r="N158" t="str">
        <v>System Administrator</v>
      </c>
      <c r="O158" t="str">
        <v>Yes</v>
      </c>
      <c r="P158">
        <v>32.298058</v>
      </c>
      <c r="Q158">
        <v>-64.874695</v>
      </c>
    </row>
    <row r="159" xml:space="preserve">
      <c r="A159" t="str">
        <v>BC0020-22</v>
      </c>
      <c r="B159" t="str" xml:space="preserve">
        <v xml:space="preserve">27 Serpentine Road_x000d__x000d_
Pembroke, HM07</v>
      </c>
      <c r="C159" t="str">
        <v>Building - Commercial</v>
      </c>
      <c r="D159" t="str">
        <v>Complete</v>
      </c>
      <c r="E159">
        <v>44707</v>
      </c>
      <c r="F159" t="str">
        <v>Proposed Construction of New Prefabricated Steel Shelter over Existing Electric Vehicle Parking. Installation of 172 Panels X 300 Watts Total Capacity 51.6 h, 2580 Square Feet in Area Roof  Mounted *Revision 1: Change from 172 solar panels to 148 solar panels and increase capacity from 51.6's to 63.6s.</v>
      </c>
      <c r="G159">
        <v>63.6</v>
      </c>
      <c r="H159" t="str">
        <v>Building Commercial</v>
      </c>
      <c r="I159">
        <v>44620</v>
      </c>
      <c r="J159">
        <v>45414</v>
      </c>
      <c r="K159" t="str">
        <v>Pembroke</v>
      </c>
      <c r="L159">
        <v>46533</v>
      </c>
      <c r="M159">
        <v>45414</v>
      </c>
      <c r="N159" t="str">
        <v/>
      </c>
      <c r="O159" t="str">
        <v>Yes</v>
      </c>
      <c r="P159">
        <v>32.297937</v>
      </c>
      <c r="Q159">
        <v>-64.792059</v>
      </c>
    </row>
    <row r="160" xml:space="preserve">
      <c r="A160" t="str">
        <v>B0224-22</v>
      </c>
      <c r="B160" t="str" xml:space="preserve">
        <v xml:space="preserve">13 Belmont Road_x000d__x000d_
Warwick, WK06</v>
      </c>
      <c r="C160" t="str">
        <v>Permitted Development</v>
      </c>
      <c r="D160" t="str">
        <v>Complete</v>
      </c>
      <c r="E160">
        <v>44712</v>
      </c>
      <c r="F160" t="str">
        <v>9.62  Roof Mounted Solar System Comprising 26 Modules @ 370w Each and One 10k Inverter.14.36MWh/Annum</v>
      </c>
      <c r="G160">
        <v>9.62</v>
      </c>
      <c r="H160" t="str">
        <v>Residential</v>
      </c>
      <c r="I160">
        <v>44684</v>
      </c>
      <c r="J160">
        <v>44798</v>
      </c>
      <c r="K160" t="str">
        <v>Warwick</v>
      </c>
      <c r="L160">
        <v>46538</v>
      </c>
      <c r="M160">
        <v>44761</v>
      </c>
      <c r="N160" t="str">
        <v/>
      </c>
      <c r="O160" t="str">
        <v>Yes</v>
      </c>
      <c r="P160">
        <v>32.274768</v>
      </c>
      <c r="Q160">
        <v>-64.801626</v>
      </c>
    </row>
    <row r="161" xml:space="preserve">
      <c r="A161" t="str">
        <v>B0234-22</v>
      </c>
      <c r="B161" t="str" xml:space="preserve">
        <v xml:space="preserve">2 Ord Valley Lane Unit: A_x000d__x000d_
Warwick, WK10</v>
      </c>
      <c r="C161" t="str">
        <v>Permitted Development</v>
      </c>
      <c r="D161" t="str">
        <v>Complete</v>
      </c>
      <c r="E161">
        <v>44713</v>
      </c>
      <c r="F161" t="str">
        <v>Roof Mounted Solar PV System -  215 sq. ft., 11x350W Modules, System Capacity: 3.85</v>
      </c>
      <c r="G161">
        <v>3.85</v>
      </c>
      <c r="H161" t="str">
        <v>Residential</v>
      </c>
      <c r="I161">
        <v>44691</v>
      </c>
      <c r="J161">
        <v>44756</v>
      </c>
      <c r="K161" t="str">
        <v>Warwick</v>
      </c>
      <c r="L161">
        <v>46539</v>
      </c>
      <c r="M161">
        <v>44755</v>
      </c>
      <c r="N161" t="str">
        <v/>
      </c>
      <c r="O161" t="str">
        <v>Yes</v>
      </c>
      <c r="P161">
        <v>32.270334</v>
      </c>
      <c r="Q161">
        <v>-64.794207</v>
      </c>
    </row>
    <row r="162" xml:space="preserve">
      <c r="A162" t="str">
        <v>BR0083-22</v>
      </c>
      <c r="B162" t="str" xml:space="preserve">
        <v xml:space="preserve">2 Trunk Island_x000d__x000d_
Hamilton, CR01</v>
      </c>
      <c r="C162" t="str">
        <v>Building - Residential</v>
      </c>
      <c r="D162" t="str">
        <v>Complete</v>
      </c>
      <c r="E162">
        <v>44713</v>
      </c>
      <c r="F162" t="str" xml:space="preserve">
        <v xml:space="preserve">Proposed Alterations and Renovations to Remove Existing Corrugated Roof and Replace with Lightweight Profiled Roof. Extend Existing North &amp; South Porches. Installation of Roof Mounted Solar PV System - 8 Panels x 345 Watts = Total Capacity 2.76 _x000d__x000d_
*Revision* (1) Eaves detail revised.   Kitchen porch roof revised.</v>
      </c>
      <c r="G162">
        <v>2.67</v>
      </c>
      <c r="H162" t="str">
        <v>Building Residential</v>
      </c>
      <c r="I162">
        <v>44644</v>
      </c>
      <c r="J162">
        <v>45218</v>
      </c>
      <c r="K162" t="str">
        <v>Hamilton</v>
      </c>
      <c r="L162">
        <v>46539</v>
      </c>
      <c r="M162">
        <v>45064</v>
      </c>
      <c r="N162" t="str">
        <v/>
      </c>
      <c r="O162" t="str">
        <v>Yes</v>
      </c>
      <c r="P162">
        <v>32.333328</v>
      </c>
      <c r="Q162">
        <v>-64.727405</v>
      </c>
    </row>
    <row r="163" xml:space="preserve">
      <c r="A163" t="str">
        <v>BR0108-22</v>
      </c>
      <c r="B163" t="str" xml:space="preserve">
        <v xml:space="preserve">116 Harbour Road_x000d__x000d_
Paget, PG05</v>
      </c>
      <c r="C163" t="str">
        <v>Building - Residential</v>
      </c>
      <c r="D163" t="str">
        <v>Complete</v>
      </c>
      <c r="E163">
        <v>44713</v>
      </c>
      <c r="F163" t="str">
        <v>Roof Mounted Solar PV System - 1089 sq ft, 51 x 400W Modules, System Capacity: 20.4</v>
      </c>
      <c r="G163">
        <v>20.4</v>
      </c>
      <c r="H163" t="str">
        <v>Building Residential</v>
      </c>
      <c r="I163">
        <v>44670</v>
      </c>
      <c r="J163">
        <v>44746</v>
      </c>
      <c r="K163" t="str">
        <v>Paget</v>
      </c>
      <c r="L163">
        <v>46539</v>
      </c>
      <c r="M163">
        <v>44741</v>
      </c>
      <c r="N163" t="str">
        <v/>
      </c>
      <c r="O163" t="str">
        <v>Yes</v>
      </c>
      <c r="P163">
        <v>32.289109</v>
      </c>
      <c r="Q163">
        <v>-64.778142</v>
      </c>
    </row>
    <row r="164" xml:space="preserve">
      <c r="A164" t="str">
        <v>B0243-22</v>
      </c>
      <c r="B164" t="str" xml:space="preserve">
        <v xml:space="preserve">34 Harbour Road Unit: A_x000d__x000d_
Paget, PG02</v>
      </c>
      <c r="C164" t="str">
        <v>Permitted Development</v>
      </c>
      <c r="D164" t="str">
        <v>Complete</v>
      </c>
      <c r="E164">
        <v>44715</v>
      </c>
      <c r="F164" t="str">
        <v>Roof Top Solar, 12 - 345W PV Modules, (4.14 ), Annual Production 5,879h, Total Area 242 Square Feet.</v>
      </c>
      <c r="G164">
        <v>4.14</v>
      </c>
      <c r="H164" t="str">
        <v>Residential</v>
      </c>
      <c r="I164">
        <v>44697</v>
      </c>
      <c r="J164">
        <v>44791</v>
      </c>
      <c r="K164" t="str">
        <v>Paget</v>
      </c>
      <c r="L164">
        <v>46541</v>
      </c>
      <c r="M164">
        <v>44791</v>
      </c>
      <c r="N164" t="str">
        <v/>
      </c>
      <c r="O164" t="str">
        <v>Yes</v>
      </c>
      <c r="P164">
        <v>32.282209</v>
      </c>
      <c r="Q164">
        <v>-64.789155</v>
      </c>
    </row>
    <row r="165" xml:space="preserve">
      <c r="A165" t="str">
        <v>B0212-22</v>
      </c>
      <c r="B165" t="str" xml:space="preserve">
        <v xml:space="preserve">23 Point Shares Road_x000d__x000d_
Pembroke, HM05</v>
      </c>
      <c r="C165" t="str">
        <v>Permitted Development</v>
      </c>
      <c r="D165" t="str">
        <v>Complete</v>
      </c>
      <c r="E165">
        <v>44715</v>
      </c>
      <c r="F165" t="str" xml:space="preserve">
        <v xml:space="preserve">Proposed Roof Mounted Solar PV System:20x 435w panels, 4x220w panels, 514 sq. ft. Total capacity 9.580  system. 2 Tesla Power Wall Batteries 13.5 h Storage Capacity Each Battery 27h storage capacity total. _x000d__x000d_
 *Revision* (1) Proposed Roof Mounted Solar PV System: 12, 435w panels 257.04 sq. ft.  12, 220w panels 257.04 sq. ft.  Total capacity 7.86  system.  1 Tesla Power Wall Battery 13.5 h.</v>
      </c>
      <c r="G165">
        <v>7.86</v>
      </c>
      <c r="H165" t="str">
        <v>Residential</v>
      </c>
      <c r="I165">
        <v>44676</v>
      </c>
      <c r="J165">
        <v>44887</v>
      </c>
      <c r="K165" t="str">
        <v>Pembroke</v>
      </c>
      <c r="L165">
        <v>46541</v>
      </c>
      <c r="M165">
        <v>44873</v>
      </c>
      <c r="N165" t="str">
        <v/>
      </c>
      <c r="O165" t="str">
        <v>Yes</v>
      </c>
      <c r="P165">
        <v>32.2920166</v>
      </c>
      <c r="Q165">
        <v>-64.8039268</v>
      </c>
    </row>
    <row r="166" xml:space="preserve">
      <c r="A166" t="str">
        <v>B0199-22</v>
      </c>
      <c r="B166" t="str" xml:space="preserve">
        <v xml:space="preserve">3 Mill Shares Road_x000d__x000d_
Pembroke, HM05</v>
      </c>
      <c r="C166" t="str">
        <v>Permitted Development</v>
      </c>
      <c r="D166" t="str">
        <v>Complete</v>
      </c>
      <c r="E166">
        <v>44715</v>
      </c>
      <c r="F166" t="str">
        <v>Roof Mounted Solar PV System - 273 sq ft, 14x360W Modules, System Capacity: 5.04</v>
      </c>
      <c r="G166">
        <v>5.04</v>
      </c>
      <c r="H166" t="str">
        <v>Residential</v>
      </c>
      <c r="I166">
        <v>44671</v>
      </c>
      <c r="J166">
        <v>44764</v>
      </c>
      <c r="K166" t="str">
        <v>Pembroke</v>
      </c>
      <c r="L166">
        <v>46541</v>
      </c>
      <c r="M166">
        <v>44753</v>
      </c>
      <c r="N166" t="str">
        <v/>
      </c>
      <c r="O166" t="str">
        <v>Yes</v>
      </c>
      <c r="P166">
        <v>32.296575</v>
      </c>
      <c r="Q166">
        <v>-64.801409</v>
      </c>
    </row>
    <row r="167" xml:space="preserve">
      <c r="A167" t="str">
        <v>B0264-22</v>
      </c>
      <c r="B167" t="str" xml:space="preserve">
        <v xml:space="preserve">6 Hinson Island_x000d__x000d_
Paget, PG01</v>
      </c>
      <c r="C167" t="str">
        <v>Permitted Development</v>
      </c>
      <c r="D167" t="str">
        <v>Complete</v>
      </c>
      <c r="E167">
        <v>44719</v>
      </c>
      <c r="F167" t="str" xml:space="preserve">
        <v xml:space="preserve">Solar Panel Installation PV System: 380watt panels;15 solar panels; 297 sqft coverage; 5.7  system with 1 Tesla powerwall 2 unit._x000d__x000d_
*Revision* (1) Proposed Solar Panel Installation PV System:  435 Watt Panels; 13 Solar Panels; 307.75 sqft coverage, 5.6  system; 1, Tesla Powerwall 2 Unit</v>
      </c>
      <c r="G167">
        <v>5.6</v>
      </c>
      <c r="H167" t="str">
        <v>Residential</v>
      </c>
      <c r="I167">
        <v>44706</v>
      </c>
      <c r="J167">
        <v>44866</v>
      </c>
      <c r="K167" t="str">
        <v>Paget</v>
      </c>
      <c r="L167">
        <v>46545</v>
      </c>
      <c r="M167">
        <v>44834</v>
      </c>
      <c r="N167" t="str">
        <v/>
      </c>
      <c r="O167" t="str">
        <v>Yes</v>
      </c>
      <c r="P167">
        <v>32.281492</v>
      </c>
      <c r="Q167">
        <v>-64.80354</v>
      </c>
    </row>
    <row r="168" xml:space="preserve">
      <c r="A168" t="str">
        <v>B0253-22</v>
      </c>
      <c r="B168" t="str" xml:space="preserve">
        <v xml:space="preserve">5 Fairyland Road_x000d__x000d_
Pembroke, HM06</v>
      </c>
      <c r="C168" t="str">
        <v>Permitted Development</v>
      </c>
      <c r="D168" t="str">
        <v>Complete</v>
      </c>
      <c r="E168">
        <v>44719</v>
      </c>
      <c r="F168" t="str">
        <v>Roof Mounted Solar PV System - 371 sq ft, 19x360W Modules, System Capacity: 6.84</v>
      </c>
      <c r="G168">
        <v>6.84</v>
      </c>
      <c r="H168" t="str">
        <v>Residential</v>
      </c>
      <c r="I168">
        <v>44700</v>
      </c>
      <c r="J168">
        <v>44788</v>
      </c>
      <c r="K168" t="str">
        <v>Pembroke</v>
      </c>
      <c r="L168">
        <v>46545</v>
      </c>
      <c r="M168">
        <v>44775</v>
      </c>
      <c r="N168" t="str">
        <v/>
      </c>
      <c r="O168" t="str">
        <v>Yes</v>
      </c>
      <c r="P168">
        <v>32.296397</v>
      </c>
      <c r="Q168">
        <v>-64.799038</v>
      </c>
    </row>
    <row r="169" xml:space="preserve">
      <c r="A169" t="str">
        <v>B0251-22</v>
      </c>
      <c r="B169" t="str" xml:space="preserve">
        <v xml:space="preserve">19 Railway Trail_x000d__x000d_
Paget, PG06</v>
      </c>
      <c r="C169" t="str">
        <v>Permitted Development</v>
      </c>
      <c r="D169" t="str">
        <v>Complete</v>
      </c>
      <c r="E169">
        <v>44720</v>
      </c>
      <c r="F169" t="str" xml:space="preserve">
        <v xml:space="preserve">Two (2) Roof Mounted Solar PV Systems - 527 sq ft._x000d__x000d_
Main House System: 293 sq ft,15x360W Modules, System Capacity: 5.4._x000d__x000d_
Apartment System: 234 sq ft, 12x360W Modules, System Capacity: 4.2</v>
      </c>
      <c r="G169">
        <v>5.4</v>
      </c>
      <c r="H169" t="str">
        <v>Residential</v>
      </c>
      <c r="I169">
        <v>44700</v>
      </c>
      <c r="J169">
        <v>44799</v>
      </c>
      <c r="K169" t="str">
        <v>Paget</v>
      </c>
      <c r="L169">
        <v>46546</v>
      </c>
      <c r="M169">
        <v>44789</v>
      </c>
      <c r="N169" t="str">
        <v/>
      </c>
      <c r="O169" t="str">
        <v>Yes</v>
      </c>
      <c r="P169">
        <v>32.282435</v>
      </c>
      <c r="Q169">
        <v>-64.77464</v>
      </c>
    </row>
    <row r="170" xml:space="preserve">
      <c r="A170" t="str">
        <v>B0265-22</v>
      </c>
      <c r="B170" t="str" xml:space="preserve">
        <v xml:space="preserve">3 Bluck Point Road_x000d__x000d_
Pembroke, HM01</v>
      </c>
      <c r="C170" t="str">
        <v>Permitted Development</v>
      </c>
      <c r="D170" t="str">
        <v>Complete</v>
      </c>
      <c r="E170">
        <v>44720</v>
      </c>
      <c r="F170" t="str">
        <v>Proposed Installation of Solar PV System: 435 Watt Panels; 40 Solar Panels; 856.86 sq ft. Coverage; 17.4; 2 Tesla Powerwall 2 Units</v>
      </c>
      <c r="G170">
        <v>17.4</v>
      </c>
      <c r="H170" t="str">
        <v>Residential</v>
      </c>
      <c r="I170">
        <v>44707</v>
      </c>
      <c r="J170">
        <v>44950</v>
      </c>
      <c r="K170" t="str">
        <v>Pembroke</v>
      </c>
      <c r="L170">
        <v>46546</v>
      </c>
      <c r="M170">
        <v>44895</v>
      </c>
      <c r="N170" t="str">
        <v/>
      </c>
      <c r="O170" t="str">
        <v>Yes</v>
      </c>
      <c r="P170">
        <v>32.301988</v>
      </c>
      <c r="Q170">
        <v>-64.810955</v>
      </c>
    </row>
    <row r="171" xml:space="preserve">
      <c r="A171" t="str">
        <v>B0256-22</v>
      </c>
      <c r="B171" t="str" xml:space="preserve">
        <v xml:space="preserve">13 Melville Crescent_x000d__x000d_
Devonshire, DV07</v>
      </c>
      <c r="C171" t="str">
        <v>Permitted Development</v>
      </c>
      <c r="D171" t="str">
        <v>Complete</v>
      </c>
      <c r="E171">
        <v>44720</v>
      </c>
      <c r="F171" t="str">
        <v>Roof Mounted Solar PV System - 332 sq ft, 17x360W Modules, System Capacity: 6.12, Wall Mounted Battery System - 10h</v>
      </c>
      <c r="G171">
        <v>6.12</v>
      </c>
      <c r="H171" t="str">
        <v>Residential</v>
      </c>
      <c r="I171">
        <v>44701</v>
      </c>
      <c r="J171">
        <v>44778</v>
      </c>
      <c r="K171" t="str">
        <v>Devonshire</v>
      </c>
      <c r="L171">
        <v>46546</v>
      </c>
      <c r="M171">
        <v>44769</v>
      </c>
      <c r="N171" t="str">
        <v/>
      </c>
      <c r="O171" t="str">
        <v>Yes</v>
      </c>
      <c r="P171">
        <v>32.300598</v>
      </c>
      <c r="Q171">
        <v>-64.751133</v>
      </c>
    </row>
    <row r="172" xml:space="preserve">
      <c r="A172" t="str">
        <v>B0275-22</v>
      </c>
      <c r="B172" t="str" xml:space="preserve">
        <v xml:space="preserve">1 St. Patrick's Close_x000d__x000d_
Smiths, FL05</v>
      </c>
      <c r="C172" t="str">
        <v>Permitted Development</v>
      </c>
      <c r="D172" t="str">
        <v>Complete</v>
      </c>
      <c r="E172">
        <v>44720</v>
      </c>
      <c r="F172" t="str" xml:space="preserve">
        <v xml:space="preserve">Roof Mounted Solar PV System - 293 sq ft, 15x360W Modules, System Capacity: 5.4_x000d__x000d_
*Revision* (1) Number of Panels 15 Square Footage per Panel Wattage per Panel 360_x000d__x000d_
Total Sq. Ft. of Panels 293 Total Kilowatts of Panels 5.4.</v>
      </c>
      <c r="G172">
        <v>5.4</v>
      </c>
      <c r="H172" t="str">
        <v>Residential</v>
      </c>
      <c r="I172">
        <v>44715</v>
      </c>
      <c r="J172">
        <v>44826</v>
      </c>
      <c r="K172" t="str">
        <v>Smiths</v>
      </c>
      <c r="L172">
        <v>46546</v>
      </c>
      <c r="M172">
        <v>44826</v>
      </c>
      <c r="N172" t="str">
        <v/>
      </c>
      <c r="O172" t="str">
        <v>Yes</v>
      </c>
      <c r="P172">
        <v>32.306682</v>
      </c>
      <c r="Q172">
        <v>-64.740254</v>
      </c>
    </row>
    <row r="173" xml:space="preserve">
      <c r="A173" t="str">
        <v>B0232-22</v>
      </c>
      <c r="B173" t="str" xml:space="preserve">
        <v xml:space="preserve">32 Dundonald Street_x000d__x000d_
City of Hamilton, HM12</v>
      </c>
      <c r="C173" t="str">
        <v>Permitted Development</v>
      </c>
      <c r="D173" t="str">
        <v>Complete</v>
      </c>
      <c r="E173">
        <v>44721</v>
      </c>
      <c r="F173" t="str">
        <v>Rooftop Solar PV - Phase 2. 36 x 370W Panasonic Modules, Total 13.32. Estimated annual production 18,014h. Total area 677.5 square feet.</v>
      </c>
      <c r="G173">
        <v>13.32</v>
      </c>
      <c r="H173" t="str">
        <v>Commercial</v>
      </c>
      <c r="I173">
        <v>44685</v>
      </c>
      <c r="J173">
        <v>44790</v>
      </c>
      <c r="K173" t="str">
        <v>City of Hamilton</v>
      </c>
      <c r="L173">
        <v>46547</v>
      </c>
      <c r="M173">
        <v>44789</v>
      </c>
      <c r="N173" t="str">
        <v/>
      </c>
      <c r="O173" t="str">
        <v>Yes</v>
      </c>
      <c r="P173">
        <v>32.2963798</v>
      </c>
      <c r="Q173">
        <v>-64.7815961</v>
      </c>
    </row>
    <row r="174" xml:space="preserve">
      <c r="A174" t="str">
        <v>B0214-22</v>
      </c>
      <c r="B174" t="str" xml:space="preserve">
        <v xml:space="preserve">4 Peters Road_x000d__x000d_
Hamilton, CR01</v>
      </c>
      <c r="C174" t="str">
        <v>Permitted Development</v>
      </c>
      <c r="D174" t="str">
        <v>Complete</v>
      </c>
      <c r="E174">
        <v>44722</v>
      </c>
      <c r="F174" t="str">
        <v>Proposed Solar Panels Affixed to Roof. (16 Panels Total), 19 sq ft per Panel, 304sq ft. Total. 400 WATTS per Panel 6.4 Total.</v>
      </c>
      <c r="G174">
        <v>6.4</v>
      </c>
      <c r="H174" t="str">
        <v>Residential</v>
      </c>
      <c r="I174">
        <v>44676</v>
      </c>
      <c r="J174">
        <v>44817</v>
      </c>
      <c r="K174" t="str">
        <v>Hamilton</v>
      </c>
      <c r="L174">
        <v>46548</v>
      </c>
      <c r="M174">
        <v>44805</v>
      </c>
      <c r="N174" t="str">
        <v/>
      </c>
      <c r="O174" t="str">
        <v>Yes</v>
      </c>
      <c r="P174">
        <v>32.334625</v>
      </c>
      <c r="Q174">
        <v>-64.734321</v>
      </c>
    </row>
    <row r="175" xml:space="preserve">
      <c r="A175" t="str">
        <v>B0239-22</v>
      </c>
      <c r="B175" t="str" xml:space="preserve">
        <v xml:space="preserve">19 Melville Crescent_x000d__x000d_
Devonshire, DV07</v>
      </c>
      <c r="C175" t="str">
        <v>Permitted Development</v>
      </c>
      <c r="D175" t="str">
        <v>Complete</v>
      </c>
      <c r="E175">
        <v>44727</v>
      </c>
      <c r="F175" t="str">
        <v>Proposed Solar Panels Affixed to Existing Roof. 15 Panels Total, 285 sq ft Total, 6 Total. (400W per panel, 19 sq ft per panel)</v>
      </c>
      <c r="G175">
        <v>6</v>
      </c>
      <c r="H175" t="str">
        <v>Residential</v>
      </c>
      <c r="I175">
        <v>44694</v>
      </c>
      <c r="J175">
        <v>44782</v>
      </c>
      <c r="K175" t="str">
        <v>Devonshire</v>
      </c>
      <c r="L175">
        <v>46553</v>
      </c>
      <c r="M175">
        <v>44749</v>
      </c>
      <c r="N175" t="str">
        <v/>
      </c>
      <c r="O175" t="str">
        <v>Yes</v>
      </c>
      <c r="P175">
        <v>32.300322</v>
      </c>
      <c r="Q175">
        <v>-64.75007</v>
      </c>
    </row>
    <row r="176" xml:space="preserve">
      <c r="A176" t="str">
        <v>B0273-22</v>
      </c>
      <c r="B176" t="str" xml:space="preserve">
        <v xml:space="preserve">12 Scarrington Hill_x000d__x000d_
Paget, PG03</v>
      </c>
      <c r="C176" t="str">
        <v>Permitted Development</v>
      </c>
      <c r="D176" t="str">
        <v>Complete</v>
      </c>
      <c r="E176">
        <v>44727</v>
      </c>
      <c r="F176" t="str">
        <v>Roof Mounted Solar PV System - 215 sq ft, 11x360W Modules, System Capacity: 3.96 Wall Mounted Battery System - 6h</v>
      </c>
      <c r="G176">
        <v>3.96</v>
      </c>
      <c r="H176" t="str">
        <v>Residential</v>
      </c>
      <c r="I176">
        <v>44713</v>
      </c>
      <c r="J176">
        <v>44792</v>
      </c>
      <c r="K176" t="str">
        <v>Paget</v>
      </c>
      <c r="L176">
        <v>46553</v>
      </c>
      <c r="M176">
        <v>44775</v>
      </c>
      <c r="N176" t="str">
        <v/>
      </c>
      <c r="O176" t="str">
        <v>Yes</v>
      </c>
      <c r="P176">
        <v>32.27894</v>
      </c>
      <c r="Q176">
        <v>-64.78625</v>
      </c>
    </row>
    <row r="177" xml:space="preserve">
      <c r="A177" t="str">
        <v>B0283-22</v>
      </c>
      <c r="B177" t="str" xml:space="preserve">
        <v xml:space="preserve">12 The Lane_x000d__x000d_
Paget, PG05</v>
      </c>
      <c r="C177" t="str">
        <v>Permitted Development</v>
      </c>
      <c r="D177" t="str">
        <v>Complete</v>
      </c>
      <c r="E177">
        <v>44727</v>
      </c>
      <c r="F177" t="str" xml:space="preserve">
        <v xml:space="preserve">Proposed Solar Panel Installation PV System: 380 Watt Panels; 30 Solar Panels; 594 sqft coverage, 11.4  system._x000d__x000d_
*Revision* (1) Solar PV System: 26 panels @ 435 W/panel; 21.4 sq ft/panel; Total Sq ft 556.4; Total System Capacity 11.31 ; Total Annual Output 16,400 h</v>
      </c>
      <c r="G177">
        <v>11.31</v>
      </c>
      <c r="H177" t="str">
        <v>Residential</v>
      </c>
      <c r="I177">
        <v>44719</v>
      </c>
      <c r="J177">
        <v>44929</v>
      </c>
      <c r="K177" t="str">
        <v>Paget</v>
      </c>
      <c r="L177">
        <v>46553</v>
      </c>
      <c r="M177">
        <v>44901</v>
      </c>
      <c r="N177" t="str">
        <v/>
      </c>
      <c r="O177" t="str">
        <v>Yes</v>
      </c>
      <c r="P177">
        <v>32.290739</v>
      </c>
      <c r="Q177">
        <v>-64.771277</v>
      </c>
    </row>
    <row r="178" xml:space="preserve">
      <c r="A178" t="str">
        <v>B0278-22</v>
      </c>
      <c r="B178" t="str" xml:space="preserve">
        <v xml:space="preserve">77 Sleepy Hollow Drive_x000d__x000d_
Hamilton, CR02</v>
      </c>
      <c r="C178" t="str">
        <v>Permitted Development</v>
      </c>
      <c r="D178" t="str">
        <v>Complete</v>
      </c>
      <c r="E178">
        <v>44727</v>
      </c>
      <c r="F178" t="str">
        <v>Proposed Solar Panel Installation PV System: 380 Watt Panels; 10 Solar Panels; 198 sqft coverage, 3.8  system.  *Revision* (1) Proposed Roof Mounted Solar PV System: 9, 435w panels, 192 sq. ft.  3915  system</v>
      </c>
      <c r="G178">
        <v>3.915</v>
      </c>
      <c r="H178" t="str">
        <v>Residential</v>
      </c>
      <c r="I178">
        <v>44715</v>
      </c>
      <c r="J178">
        <v>44875</v>
      </c>
      <c r="K178" t="str">
        <v>Hamilton</v>
      </c>
      <c r="L178">
        <v>46553</v>
      </c>
      <c r="M178">
        <v>44875</v>
      </c>
      <c r="N178" t="str">
        <v/>
      </c>
      <c r="O178" t="str">
        <v>Yes</v>
      </c>
      <c r="P178">
        <v>32.340336</v>
      </c>
      <c r="Q178">
        <v>-64.728756</v>
      </c>
    </row>
    <row r="179" xml:space="preserve">
      <c r="A179" t="str">
        <v>BC0041-22</v>
      </c>
      <c r="B179" t="str" xml:space="preserve">
        <v xml:space="preserve">38 Frog Lane_x000d__x000d_
Devonshire, DV01</v>
      </c>
      <c r="C179" t="str">
        <v>Building - Commercial</v>
      </c>
      <c r="D179" t="str">
        <v>Complete</v>
      </c>
      <c r="E179">
        <v>44727</v>
      </c>
      <c r="F179" t="str" xml:space="preserve">
        <v xml:space="preserve">756.49 (DC) Photovoltaic PV System; 1498 panels @ 505W/panel; 39,000 sq ft.  _x000d_
North Pavillion: 254 panels @ 505 W/panel; 26 sq ft/panel; Total Area 6602 sq ft; Total Output 128.27 _x000d_
Aquatic Centre: 990 panels @ 505 W/panel; 26 sq ft/panel; Total area 25,740 sq ft; Total Output 499.95 _x000d_
Grand Stand: 254 panels @ 505 W/panel; 26 sq ft/panel; Total Area 6602 sq ft; Total Output 128.27 _x000d_
*Revision* (1) PV solar Installation moved 30 feet south on attached drawings.  _x000d_
*Revision* (2) Relocating center solar footing column. *Revision 3: The inverter increased from 125 nominal power to 250 nominal power. The battery storage increased from 128hs to 286hs.</v>
      </c>
      <c r="G179">
        <v>756.49</v>
      </c>
      <c r="H179" t="str">
        <v>Building Commercial</v>
      </c>
      <c r="I179">
        <v>44664</v>
      </c>
      <c r="J179">
        <v>46132</v>
      </c>
      <c r="K179" t="str">
        <v>Devonshire</v>
      </c>
      <c r="L179">
        <v>46553</v>
      </c>
      <c r="M179">
        <v>46129</v>
      </c>
      <c r="N179" t="str">
        <v/>
      </c>
      <c r="O179" t="str">
        <v>Yes</v>
      </c>
      <c r="P179">
        <v>32.301044</v>
      </c>
      <c r="Q179">
        <v>-64.768792</v>
      </c>
    </row>
    <row r="180" xml:space="preserve">
      <c r="A180" t="str">
        <v>BC0119-21</v>
      </c>
      <c r="B180" t="str" xml:space="preserve">
        <v xml:space="preserve">36 Pompano Beach Road_x000d__x000d_
Southampton, SB03</v>
      </c>
      <c r="C180" t="str">
        <v>Building - Commercial</v>
      </c>
      <c r="D180" t="str">
        <v>Complete</v>
      </c>
      <c r="E180">
        <v>44727</v>
      </c>
      <c r="F180" t="str">
        <v>Solar Power Station (Retroactive), 756 Panels @ 390W/Panel; 21.125 sq ft per Panel; Total System Capacity: 294.84 h; Total System Area: 15970.5 sq ft *Revision 1: 780 (390 watt) solar panels . 16478 sq.feet total. 304.2  total * Revised: Final System Data: 756 panels @ 390W/Panel; 21 sq ft/panel; Total system area 15876 sq ft; Total DC Output 294.84; Total AC Output 265.356; Projected Annual Output 29057 h.</v>
      </c>
      <c r="G180">
        <v>265.356</v>
      </c>
      <c r="H180" t="str">
        <v>Building Commercial</v>
      </c>
      <c r="I180">
        <v>44399</v>
      </c>
      <c r="J180">
        <v>45138</v>
      </c>
      <c r="K180" t="str">
        <v>Southampton</v>
      </c>
      <c r="L180">
        <v>46553</v>
      </c>
      <c r="M180">
        <v>46100</v>
      </c>
      <c r="N180" t="str">
        <v/>
      </c>
      <c r="O180" t="str">
        <v>Yes</v>
      </c>
      <c r="P180">
        <v>32.262134</v>
      </c>
      <c r="Q180">
        <v>-64.8787311</v>
      </c>
    </row>
    <row r="181" xml:space="preserve">
      <c r="A181" t="str">
        <v>B0277-22</v>
      </c>
      <c r="B181" t="str" xml:space="preserve">
        <v xml:space="preserve">18 Cottage Hill Road West_x000d__x000d_
Hamilton, CR02</v>
      </c>
      <c r="C181" t="str">
        <v>Permitted Development</v>
      </c>
      <c r="D181" t="str">
        <v>Complete</v>
      </c>
      <c r="E181">
        <v>44729</v>
      </c>
      <c r="F181" t="str" xml:space="preserve">
        <v xml:space="preserve">Proposed Solar Panel Installation PV System: 380 Watt Panels; 12 Solar Panels; 237.6 sqft coverage, 4.56  system.  _x000d__x000d_
*Revision* (1) Solar PV System: 11 Panels @ 435 W/panel; 21.4 sq ft/panel; Total Sq ft 235.4; Total System Capacity 4.78 ; Total Annual Output 6.94 h.</v>
      </c>
      <c r="G181">
        <v>4.78</v>
      </c>
      <c r="H181" t="str">
        <v>Residential</v>
      </c>
      <c r="I181">
        <v>44715</v>
      </c>
      <c r="J181">
        <v>44950</v>
      </c>
      <c r="K181" t="str">
        <v>Hamilton</v>
      </c>
      <c r="L181">
        <v>46555</v>
      </c>
      <c r="M181">
        <v>44900</v>
      </c>
      <c r="N181" t="str">
        <v/>
      </c>
      <c r="O181" t="str">
        <v>Yes</v>
      </c>
      <c r="P181">
        <v>32.341832</v>
      </c>
      <c r="Q181">
        <v>-64.729369</v>
      </c>
    </row>
    <row r="182" xml:space="preserve">
      <c r="A182" t="str">
        <v>B0279-22</v>
      </c>
      <c r="B182" t="str" xml:space="preserve">
        <v xml:space="preserve">16 Harbour Road_x000d__x000d_
Paget, PG01</v>
      </c>
      <c r="C182" t="str">
        <v>Permitted Development</v>
      </c>
      <c r="D182" t="str">
        <v>Complete</v>
      </c>
      <c r="E182">
        <v>44729</v>
      </c>
      <c r="F182" t="str">
        <v>Roof Mounted Solar PV System - 701 sq ft, 30x430W Modules, System Capacity: 12.9</v>
      </c>
      <c r="G182">
        <v>12.9</v>
      </c>
      <c r="H182" t="str">
        <v>Residential</v>
      </c>
      <c r="I182">
        <v>44715</v>
      </c>
      <c r="J182">
        <v>44819</v>
      </c>
      <c r="K182" t="str">
        <v>Paget</v>
      </c>
      <c r="L182">
        <v>46555</v>
      </c>
      <c r="M182">
        <v>44818</v>
      </c>
      <c r="N182" t="str">
        <v/>
      </c>
      <c r="O182" t="str">
        <v>Yes</v>
      </c>
      <c r="P182">
        <v>32.280533</v>
      </c>
      <c r="Q182">
        <v>-64.792226</v>
      </c>
    </row>
    <row r="183" xml:space="preserve">
      <c r="A183" t="str">
        <v>B0286-22</v>
      </c>
      <c r="B183" t="str" xml:space="preserve">
        <v xml:space="preserve">4 Westering Lane_x000d__x000d_
Warwick, WK09</v>
      </c>
      <c r="C183" t="str">
        <v>Permitted Development</v>
      </c>
      <c r="D183" t="str">
        <v>Complete</v>
      </c>
      <c r="E183">
        <v>44729</v>
      </c>
      <c r="F183" t="str">
        <v>Proposed Solar Panel Installation PV System: 435 Watt Panels; 5 Solar Panels; 107.11 sqft coverage, 2.18  system</v>
      </c>
      <c r="G183">
        <v>2.18</v>
      </c>
      <c r="H183" t="str">
        <v>Residential</v>
      </c>
      <c r="I183">
        <v>44719</v>
      </c>
      <c r="J183">
        <v>44819</v>
      </c>
      <c r="K183" t="str">
        <v>Warwick</v>
      </c>
      <c r="L183">
        <v>46555</v>
      </c>
      <c r="M183">
        <v>44817</v>
      </c>
      <c r="N183" t="str">
        <v/>
      </c>
      <c r="O183" t="str">
        <v>Yes</v>
      </c>
      <c r="P183">
        <v>32.27397</v>
      </c>
      <c r="Q183">
        <v>-64.79437</v>
      </c>
    </row>
    <row r="184" xml:space="preserve">
      <c r="A184" t="str">
        <v>B0280-22</v>
      </c>
      <c r="B184" t="str" xml:space="preserve">
        <v xml:space="preserve">61 Spice Hill Road_x000d__x000d_
Warwick, WK03</v>
      </c>
      <c r="C184" t="str">
        <v>Permitted Development</v>
      </c>
      <c r="D184" t="str">
        <v>Complete</v>
      </c>
      <c r="E184">
        <v>44729</v>
      </c>
      <c r="F184" t="str">
        <v>Proposed Solar Panel Installation PV System: 435 Watt Panels; 24 Solar Panels; 514.12 sqft coverage, 10.44  system; 2 Tesla Powerwall 2 Unit</v>
      </c>
      <c r="G184">
        <v>10.44</v>
      </c>
      <c r="H184" t="str">
        <v>Residential</v>
      </c>
      <c r="I184">
        <v>44715</v>
      </c>
      <c r="J184">
        <v>44939</v>
      </c>
      <c r="K184" t="str">
        <v>Warwick</v>
      </c>
      <c r="L184">
        <v>46555</v>
      </c>
      <c r="M184">
        <v>44901</v>
      </c>
      <c r="N184" t="str">
        <v/>
      </c>
      <c r="O184" t="str">
        <v>Yes</v>
      </c>
      <c r="P184">
        <v>32.261623</v>
      </c>
      <c r="Q184">
        <v>-64.809328</v>
      </c>
    </row>
    <row r="185" xml:space="preserve">
      <c r="A185" t="str">
        <v>B0291-22</v>
      </c>
      <c r="B185" t="str" xml:space="preserve">
        <v xml:space="preserve">31 Tamarind Vale_x000d__x000d_
Warwick, WK04</v>
      </c>
      <c r="C185" t="str">
        <v>Permitted Development</v>
      </c>
      <c r="D185" t="str">
        <v>Complete</v>
      </c>
      <c r="E185">
        <v>44729</v>
      </c>
      <c r="F185" t="str" xml:space="preserve">
        <v xml:space="preserve">Proposed Solar Panel Installation PV System: 380 Watt Panels; 23 Solar Panels; 455.4sqft coverage, 8.74  system.  _x000d__x000d_
*Revision* (1) Solar PV System: 20 panels @ 435 W/panel; 21.4 sq ft/panel; Total sq ft 428; Total System Capacity 8.70 ; Total Annual Output 12.61 h.</v>
      </c>
      <c r="G185">
        <v>8.7</v>
      </c>
      <c r="H185" t="str">
        <v>Residential</v>
      </c>
      <c r="I185">
        <v>44720</v>
      </c>
      <c r="J185">
        <v>44897</v>
      </c>
      <c r="K185" t="str">
        <v>Warwick</v>
      </c>
      <c r="L185">
        <v>46555</v>
      </c>
      <c r="M185">
        <v>44896</v>
      </c>
      <c r="N185" t="str">
        <v/>
      </c>
      <c r="O185" t="str">
        <v>Yes</v>
      </c>
      <c r="P185">
        <v>32.26958</v>
      </c>
      <c r="Q185">
        <v>-64.813951</v>
      </c>
    </row>
    <row r="186" xml:space="preserve">
      <c r="A186" t="str">
        <v>B0202-22</v>
      </c>
      <c r="B186" t="str" xml:space="preserve">
        <v xml:space="preserve">13 Harrington Sound Road_x000d__x000d_
Hamilton, HS02</v>
      </c>
      <c r="C186" t="str">
        <v>Permitted Development</v>
      </c>
      <c r="D186" t="str">
        <v>Complete</v>
      </c>
      <c r="E186">
        <v>44736</v>
      </c>
      <c r="F186" t="str">
        <v>Roof Mounted Solar PV System - 644 sq ft, 33x360W Modules, System Capacity: 11.88</v>
      </c>
      <c r="G186">
        <v>11.88</v>
      </c>
      <c r="H186" t="str">
        <v>Residential</v>
      </c>
      <c r="I186">
        <v>44671</v>
      </c>
      <c r="J186">
        <v>44790</v>
      </c>
      <c r="K186" t="str">
        <v>Hamilton</v>
      </c>
      <c r="L186">
        <v>46562</v>
      </c>
      <c r="M186">
        <v>44790</v>
      </c>
      <c r="N186" t="str">
        <v/>
      </c>
      <c r="O186" t="str">
        <v>Yes</v>
      </c>
      <c r="P186">
        <v>32.330494</v>
      </c>
      <c r="Q186">
        <v>-64.711837</v>
      </c>
    </row>
    <row r="187" xml:space="preserve">
      <c r="A187" t="str">
        <v>B0310-22</v>
      </c>
      <c r="B187" t="str" xml:space="preserve">
        <v xml:space="preserve">3 Bluebird Lane_x000d__x000d_
Sandys, BM MA06, Bermuda</v>
      </c>
      <c r="C187" t="str">
        <v>Permitted Development</v>
      </c>
      <c r="D187" t="str">
        <v>Complete</v>
      </c>
      <c r="E187">
        <v>44746</v>
      </c>
      <c r="F187" t="str" xml:space="preserve">
        <v xml:space="preserve">Two Roof Mounted Solar PV Systems - 416 sq ft. _x000d__x000d_
Upper Unit - 234 sq ft, 12x360W Modules, System Capacity: 4.32_x000d__x000d_
Lower Unit - 182 sq ft, 9x360W Modules, System Capacity: 3.24_x000d__x000d_
*Revision* (1) Two Roof Mounted Solar PV Systems - 416 sq ft. Upper Unit - 234 sq ft, 12x360W Modules, System Capacity: 4.32 Lower Unit - 202 sq ft, 10x360W Modules, System Capacity: 3.6.</v>
      </c>
      <c r="G187">
        <v>7.92</v>
      </c>
      <c r="H187" t="str">
        <v>Residential</v>
      </c>
      <c r="I187">
        <v>44734</v>
      </c>
      <c r="J187">
        <v>44853</v>
      </c>
      <c r="K187" t="str">
        <v>Sandys</v>
      </c>
      <c r="L187">
        <v>46573</v>
      </c>
      <c r="M187">
        <v>44852</v>
      </c>
      <c r="N187" t="str">
        <v/>
      </c>
      <c r="O187" t="str">
        <v>Yes</v>
      </c>
      <c r="P187">
        <v>32.279571</v>
      </c>
      <c r="Q187">
        <v>-64.874619</v>
      </c>
    </row>
    <row r="188" xml:space="preserve">
      <c r="A188" t="str">
        <v>B0309-22</v>
      </c>
      <c r="B188" t="str" xml:space="preserve">
        <v xml:space="preserve">4 Bluebird Lane_x000d__x000d_
Sandys, MA06</v>
      </c>
      <c r="C188" t="str">
        <v>Permitted Development</v>
      </c>
      <c r="D188" t="str">
        <v>Complete</v>
      </c>
      <c r="E188">
        <v>44746</v>
      </c>
      <c r="F188" t="str">
        <v>Roof Mounted Solar PV System - 312 sq ft,  16x360W Modules, System Capacity: 5.76</v>
      </c>
      <c r="G188">
        <v>5.76</v>
      </c>
      <c r="H188" t="str">
        <v>Residential</v>
      </c>
      <c r="I188">
        <v>44734</v>
      </c>
      <c r="J188">
        <v>44821</v>
      </c>
      <c r="K188" t="str">
        <v>Sandys</v>
      </c>
      <c r="L188">
        <v>46573</v>
      </c>
      <c r="M188">
        <v>44813</v>
      </c>
      <c r="N188" t="str">
        <v/>
      </c>
      <c r="O188" t="str">
        <v>Yes</v>
      </c>
      <c r="P188">
        <v>32.279246</v>
      </c>
      <c r="Q188">
        <v>-64.874482</v>
      </c>
    </row>
    <row r="189" xml:space="preserve">
      <c r="A189" t="str">
        <v>B0314-22</v>
      </c>
      <c r="B189" t="str" xml:space="preserve">
        <v xml:space="preserve">3 Skyline Road_x000d__x000d_
Smiths, FL08</v>
      </c>
      <c r="C189" t="str">
        <v>Permitted Development</v>
      </c>
      <c r="D189" t="str">
        <v>Complete</v>
      </c>
      <c r="E189">
        <v>44746</v>
      </c>
      <c r="F189" t="str">
        <v>Roof Mounted Solar PV System - 527 sq ft, 27x360W Modules, System Capacity: 9.72</v>
      </c>
      <c r="G189">
        <v>9.72</v>
      </c>
      <c r="H189" t="str">
        <v>Residential</v>
      </c>
      <c r="I189">
        <v>44736</v>
      </c>
      <c r="J189">
        <v>44819</v>
      </c>
      <c r="K189" t="str">
        <v>Smiths</v>
      </c>
      <c r="L189">
        <v>46573</v>
      </c>
      <c r="M189">
        <v>44817</v>
      </c>
      <c r="N189" t="str">
        <v/>
      </c>
      <c r="O189" t="str">
        <v>Yes</v>
      </c>
      <c r="P189">
        <v>32.317997</v>
      </c>
      <c r="Q189">
        <v>-64.720393</v>
      </c>
    </row>
    <row r="190" xml:space="preserve">
      <c r="A190" t="str">
        <v>B0308-22</v>
      </c>
      <c r="B190" t="str" xml:space="preserve">
        <v xml:space="preserve">24 Glenwood Park Crescent_x000d__x000d_
Warwick, WK08</v>
      </c>
      <c r="C190" t="str">
        <v>Permitted Development</v>
      </c>
      <c r="D190" t="str">
        <v>Complete</v>
      </c>
      <c r="E190">
        <v>44746</v>
      </c>
      <c r="F190" t="str">
        <v>Roof Mounted Solar PV System - 371 sq ft, 19x360W Modules, System Capacity: 6.84</v>
      </c>
      <c r="G190">
        <v>6.84</v>
      </c>
      <c r="H190" t="str">
        <v>Residential</v>
      </c>
      <c r="I190">
        <v>44734</v>
      </c>
      <c r="J190">
        <v>44819</v>
      </c>
      <c r="K190" t="str">
        <v>Warwick</v>
      </c>
      <c r="L190">
        <v>46573</v>
      </c>
      <c r="M190">
        <v>44818</v>
      </c>
      <c r="N190" t="str">
        <v/>
      </c>
      <c r="O190" t="str">
        <v>Yes</v>
      </c>
      <c r="P190">
        <v>32.268609</v>
      </c>
      <c r="Q190">
        <v>-64.795506</v>
      </c>
    </row>
    <row r="191" xml:space="preserve">
      <c r="A191" t="str">
        <v>B0252-22</v>
      </c>
      <c r="B191" t="str" xml:space="preserve">
        <v xml:space="preserve">7 Speakers Drive_x000d__x000d_
St. George's, GE02</v>
      </c>
      <c r="C191" t="str">
        <v>Permitted Development</v>
      </c>
      <c r="D191" t="str">
        <v>Complete</v>
      </c>
      <c r="E191">
        <v>44748</v>
      </c>
      <c r="F191" t="str">
        <v>Roof Mounted Solar PV System - 566 sq ft., 29x360W Modules, System Capacity: 10.44</v>
      </c>
      <c r="G191">
        <v>10.44</v>
      </c>
      <c r="H191" t="str">
        <v>Residential</v>
      </c>
      <c r="I191">
        <v>44700</v>
      </c>
      <c r="J191">
        <v>44820</v>
      </c>
      <c r="K191" t="str">
        <v>Devonshire</v>
      </c>
      <c r="L191">
        <v>46574</v>
      </c>
      <c r="M191">
        <v>44819</v>
      </c>
      <c r="N191" t="str">
        <v/>
      </c>
      <c r="O191" t="str">
        <v>Yes</v>
      </c>
      <c r="P191">
        <v>32.3039374</v>
      </c>
      <c r="Q191">
        <v>-64.7591087</v>
      </c>
    </row>
    <row r="192" xml:space="preserve">
      <c r="A192" t="str">
        <v>BC0042-22</v>
      </c>
      <c r="B192" t="str" xml:space="preserve">
        <v xml:space="preserve">65 Pitts Bay Road_x000d__x000d_
Pembroke, HM08</v>
      </c>
      <c r="C192" t="str">
        <v>Building - Commercial</v>
      </c>
      <c r="D192" t="str">
        <v>Complete</v>
      </c>
      <c r="E192">
        <v>44754</v>
      </c>
      <c r="F192" t="str">
        <v>224.22 (DC) Photovoltaic Solar System 444 panels@505W/panel; 12340.37 sq ft</v>
      </c>
      <c r="G192">
        <v>224.22</v>
      </c>
      <c r="H192" t="str">
        <v>Building Commercial</v>
      </c>
      <c r="I192">
        <v>44664</v>
      </c>
      <c r="J192">
        <v>45155</v>
      </c>
      <c r="K192" t="str">
        <v>Pembroke</v>
      </c>
      <c r="L192">
        <v>46580</v>
      </c>
      <c r="M192">
        <v>45155</v>
      </c>
      <c r="N192" t="str">
        <v/>
      </c>
      <c r="O192" t="str">
        <v>Yes</v>
      </c>
      <c r="P192">
        <v>32.29234</v>
      </c>
      <c r="Q192">
        <v>-64.794984</v>
      </c>
    </row>
    <row r="193" xml:space="preserve">
      <c r="A193" t="str">
        <v>B0332-22</v>
      </c>
      <c r="B193" t="str" xml:space="preserve">
        <v xml:space="preserve">18 Scaur Hill Drive_x000d__x000d_
Sandys, MA06</v>
      </c>
      <c r="C193" t="str">
        <v>Permitted Development</v>
      </c>
      <c r="D193" t="str">
        <v>Complete</v>
      </c>
      <c r="E193">
        <v>44761</v>
      </c>
      <c r="F193" t="str">
        <v>Roof Mounted Solar PV System - 215 sq ft, 11x360W Modules and System Capacity: 3.96</v>
      </c>
      <c r="G193">
        <v>3.96</v>
      </c>
      <c r="H193" t="str">
        <v>Residential</v>
      </c>
      <c r="I193">
        <v>44750</v>
      </c>
      <c r="J193">
        <v>44824</v>
      </c>
      <c r="K193" t="str">
        <v>Sandys</v>
      </c>
      <c r="L193">
        <v>46587</v>
      </c>
      <c r="M193">
        <v>44819</v>
      </c>
      <c r="N193" t="str">
        <v/>
      </c>
      <c r="O193" t="str">
        <v>Yes</v>
      </c>
      <c r="P193">
        <v>32.282344</v>
      </c>
      <c r="Q193">
        <v>-64.875523</v>
      </c>
    </row>
    <row r="194" xml:space="preserve">
      <c r="A194" t="str">
        <v>B0325-22</v>
      </c>
      <c r="B194" t="str" xml:space="preserve">
        <v xml:space="preserve">9 Kilderry Drive_x000d__x000d_
Smiths, FL02</v>
      </c>
      <c r="C194" t="str">
        <v>Permitted Development</v>
      </c>
      <c r="D194" t="str">
        <v>Complete</v>
      </c>
      <c r="E194">
        <v>44776</v>
      </c>
      <c r="F194" t="str">
        <v>Roof Top Solar, 23 - 345W PV Modules, (7.94 ), Annual Production 10,490 h, Total Area 463 Square Feet.</v>
      </c>
      <c r="G194">
        <v>7.94</v>
      </c>
      <c r="H194" t="str">
        <v>Residential</v>
      </c>
      <c r="I194">
        <v>44743</v>
      </c>
      <c r="J194">
        <v>44915</v>
      </c>
      <c r="K194" t="str">
        <v>Smiths</v>
      </c>
      <c r="L194">
        <v>46602</v>
      </c>
      <c r="M194">
        <v>44889</v>
      </c>
      <c r="N194" t="str">
        <v/>
      </c>
      <c r="O194" t="str">
        <v>Yes</v>
      </c>
      <c r="P194">
        <v>32.3113752</v>
      </c>
      <c r="Q194">
        <v>-64.7458923</v>
      </c>
    </row>
    <row r="195" xml:space="preserve">
      <c r="A195" t="str">
        <v>B0351-22</v>
      </c>
      <c r="B195" t="str" xml:space="preserve">
        <v xml:space="preserve">10 Hastings Road_x000d__x000d_
Pembroke, HM05</v>
      </c>
      <c r="C195" t="str">
        <v>Permitted Development</v>
      </c>
      <c r="D195" t="str">
        <v>Complete</v>
      </c>
      <c r="E195">
        <v>44777</v>
      </c>
      <c r="F195" t="str">
        <v xml:space="preserve">Roof Mounted Solar PV System - 254 sq ft, 360W Modules, System Capacity: 4.68 , Wall Mounted Battery System - 10 </v>
      </c>
      <c r="G195">
        <v>4.68</v>
      </c>
      <c r="H195" t="str">
        <v>Residential</v>
      </c>
      <c r="I195">
        <v>44757</v>
      </c>
      <c r="J195">
        <v>44860</v>
      </c>
      <c r="K195" t="str">
        <v>Pembroke</v>
      </c>
      <c r="L195">
        <v>46603</v>
      </c>
      <c r="M195">
        <v>44859</v>
      </c>
      <c r="N195" t="str">
        <v/>
      </c>
      <c r="O195" t="str">
        <v>Yes</v>
      </c>
      <c r="P195">
        <v>32.2925679</v>
      </c>
      <c r="Q195">
        <v>-64.8016998</v>
      </c>
    </row>
    <row r="196" xml:space="preserve">
      <c r="A196" t="str">
        <v>BC0069-22</v>
      </c>
      <c r="B196" t="str" xml:space="preserve">
        <v xml:space="preserve">9 Elliott Street_x000d__x000d_
City of Hamilton, HM10</v>
      </c>
      <c r="C196" t="str">
        <v>Building - Commercial</v>
      </c>
      <c r="D196" t="str">
        <v>Complete</v>
      </c>
      <c r="E196">
        <v>44778</v>
      </c>
      <c r="F196" t="str">
        <v>Roof Mounted Solar PV System 2803 sq ft, 120x430W Modules, System Capacity: 51.6</v>
      </c>
      <c r="G196">
        <v>51.6</v>
      </c>
      <c r="H196" t="str">
        <v>Building Commercial</v>
      </c>
      <c r="I196">
        <v>44734</v>
      </c>
      <c r="J196">
        <v>44833</v>
      </c>
      <c r="K196" t="str">
        <v>City of Hamilton</v>
      </c>
      <c r="L196">
        <v>46604</v>
      </c>
      <c r="M196">
        <v>44818</v>
      </c>
      <c r="N196" t="str">
        <v/>
      </c>
      <c r="O196" t="str">
        <v>Yes</v>
      </c>
      <c r="P196">
        <v>32.29686</v>
      </c>
      <c r="Q196">
        <v>-64.780142</v>
      </c>
    </row>
    <row r="197" xml:space="preserve">
      <c r="A197" t="str">
        <v>B0329-22</v>
      </c>
      <c r="B197" t="str" xml:space="preserve">
        <v xml:space="preserve">2 Frascati Lane_x000d__x000d_
Smiths, FL04</v>
      </c>
      <c r="C197" t="str">
        <v>Permitted Development</v>
      </c>
      <c r="D197" t="str">
        <v>Complete</v>
      </c>
      <c r="E197">
        <v>44778</v>
      </c>
      <c r="F197" t="str">
        <v>Roof Mounted Solar PV System - 546 sq ft, 28x360W Modules, System Capacity: 10.08</v>
      </c>
      <c r="G197">
        <v>10.08</v>
      </c>
      <c r="H197" t="str">
        <v>Residential</v>
      </c>
      <c r="I197">
        <v>44749</v>
      </c>
      <c r="J197">
        <v>44903</v>
      </c>
      <c r="K197" t="str">
        <v>Smiths</v>
      </c>
      <c r="L197">
        <v>46604</v>
      </c>
      <c r="M197">
        <v>44902</v>
      </c>
      <c r="N197" t="str">
        <v/>
      </c>
      <c r="O197" t="str">
        <v>Yes</v>
      </c>
      <c r="P197">
        <v>32.320955</v>
      </c>
      <c r="Q197">
        <v>-64.739526</v>
      </c>
    </row>
    <row r="198" xml:space="preserve">
      <c r="A198" t="str">
        <v>B0350-22</v>
      </c>
      <c r="B198" t="str" xml:space="preserve">
        <v xml:space="preserve">39 South Road_x000d__x000d_
Southampton, SN01</v>
      </c>
      <c r="C198" t="str">
        <v>Permitted Development</v>
      </c>
      <c r="D198" t="str">
        <v>Complete</v>
      </c>
      <c r="E198">
        <v>44778</v>
      </c>
      <c r="F198" t="str">
        <v xml:space="preserve">Roof Mounted Solar PV System - 15 panels, 293 sq ft, 360W Modules, System Capacity: 5.4 </v>
      </c>
      <c r="G198">
        <v>5.4</v>
      </c>
      <c r="H198" t="str">
        <v>Residential</v>
      </c>
      <c r="I198">
        <v>44757</v>
      </c>
      <c r="J198">
        <v>44950</v>
      </c>
      <c r="K198" t="str">
        <v>Southampton</v>
      </c>
      <c r="L198">
        <v>46604</v>
      </c>
      <c r="M198">
        <v>44944</v>
      </c>
      <c r="N198" t="str">
        <v/>
      </c>
      <c r="O198" t="str">
        <v>Yes</v>
      </c>
      <c r="P198">
        <v>32.249934</v>
      </c>
      <c r="Q198">
        <v>-64.849128</v>
      </c>
    </row>
    <row r="199" xml:space="preserve">
      <c r="A199" t="str">
        <v>B0347-22</v>
      </c>
      <c r="B199" t="str" xml:space="preserve">
        <v xml:space="preserve">50 Morgan Road_x000d__x000d_
Warwick, PG01</v>
      </c>
      <c r="C199" t="str">
        <v>Permitted Development</v>
      </c>
      <c r="D199" t="str">
        <v>Complete</v>
      </c>
      <c r="E199">
        <v>44778</v>
      </c>
      <c r="F199" t="str">
        <v xml:space="preserve">Roof Mounted Solar PV System - 11 panels, 215 sq ft, 360W Modules, System Capacity: 3.96 </v>
      </c>
      <c r="G199">
        <v>3.96</v>
      </c>
      <c r="H199" t="str">
        <v>Residential</v>
      </c>
      <c r="I199">
        <v>44757</v>
      </c>
      <c r="J199">
        <v>45016</v>
      </c>
      <c r="K199" t="str">
        <v>Warwick</v>
      </c>
      <c r="L199">
        <v>46604</v>
      </c>
      <c r="M199">
        <v>44994</v>
      </c>
      <c r="N199" t="str">
        <v/>
      </c>
      <c r="O199" t="str">
        <v>Yes</v>
      </c>
      <c r="P199">
        <v>32.276955</v>
      </c>
      <c r="Q199">
        <v>-64.795857</v>
      </c>
    </row>
    <row r="200" xml:space="preserve">
      <c r="A200" t="str">
        <v>B0349-22</v>
      </c>
      <c r="B200" t="str" xml:space="preserve">
        <v xml:space="preserve">80 Middle Road_x000d__x000d_
Smiths, FL06</v>
      </c>
      <c r="C200" t="str">
        <v>Permitted Development</v>
      </c>
      <c r="D200" t="str">
        <v>Complete</v>
      </c>
      <c r="E200">
        <v>44778</v>
      </c>
      <c r="F200" t="str">
        <v>Roof Mounted Solar PV System - 4 panels, 78 sq ft, 360W Modules, System Capacity:  1.44 , Wall Mounted Battery System - 10 h</v>
      </c>
      <c r="G200">
        <v>1.44</v>
      </c>
      <c r="H200" t="str">
        <v>Residential</v>
      </c>
      <c r="I200">
        <v>44757</v>
      </c>
      <c r="J200">
        <v>44950</v>
      </c>
      <c r="K200" t="str">
        <v>Devonshire</v>
      </c>
      <c r="L200">
        <v>46604</v>
      </c>
      <c r="M200">
        <v>44944</v>
      </c>
      <c r="N200" t="str">
        <v/>
      </c>
      <c r="O200" t="str">
        <v>Yes</v>
      </c>
      <c r="P200">
        <v>32.320005</v>
      </c>
      <c r="Q200">
        <v>-64.734883</v>
      </c>
    </row>
    <row r="201" xml:space="preserve">
      <c r="A201" t="str">
        <v>B0346-22</v>
      </c>
      <c r="B201" t="str" xml:space="preserve">
        <v xml:space="preserve">12 Commonland Point Road_x000d__x000d_
Hamilton, FL04</v>
      </c>
      <c r="C201" t="str">
        <v>Permitted Development</v>
      </c>
      <c r="D201" t="str">
        <v>Complete</v>
      </c>
      <c r="E201">
        <v>44778</v>
      </c>
      <c r="F201" t="str">
        <v xml:space="preserve">Roof Mounted Solar PV System - 293 sq ft, 360W Modules, System Capacity: 5.4 </v>
      </c>
      <c r="G201">
        <v>5.4</v>
      </c>
      <c r="H201" t="str">
        <v>Residential</v>
      </c>
      <c r="I201">
        <v>44757</v>
      </c>
      <c r="J201">
        <v>44820</v>
      </c>
      <c r="K201" t="str">
        <v>Hamilton</v>
      </c>
      <c r="L201">
        <v>46604</v>
      </c>
      <c r="M201">
        <v>44819</v>
      </c>
      <c r="N201" t="str">
        <v/>
      </c>
      <c r="O201" t="str">
        <v>Yes</v>
      </c>
      <c r="P201">
        <v>32.330607</v>
      </c>
      <c r="Q201">
        <v>-64.73755</v>
      </c>
    </row>
    <row r="202" xml:space="preserve">
      <c r="A202" t="str">
        <v>B0345-22</v>
      </c>
      <c r="B202" t="str" xml:space="preserve">
        <v xml:space="preserve">13 Sayle Road_x000d__x000d_
Smiths, FL05</v>
      </c>
      <c r="C202" t="str">
        <v>Permitted Development</v>
      </c>
      <c r="D202" t="str">
        <v>Complete</v>
      </c>
      <c r="E202">
        <v>44778</v>
      </c>
      <c r="F202" t="str">
        <v xml:space="preserve">Roof Mounted Solar PV System - 527 sq ft,  27x360W Modules, System Capacity: 9.72 </v>
      </c>
      <c r="G202">
        <v>9.72</v>
      </c>
      <c r="H202" t="str">
        <v>Residential</v>
      </c>
      <c r="I202">
        <v>44757</v>
      </c>
      <c r="J202">
        <v>45062</v>
      </c>
      <c r="K202" t="str">
        <v>Smiths</v>
      </c>
      <c r="L202">
        <v>46604</v>
      </c>
      <c r="M202">
        <v>45014</v>
      </c>
      <c r="N202" t="str">
        <v/>
      </c>
      <c r="O202" t="str">
        <v>Yes</v>
      </c>
      <c r="P202">
        <v>32.309584</v>
      </c>
      <c r="Q202">
        <v>-64.739209</v>
      </c>
    </row>
    <row r="203" xml:space="preserve">
      <c r="A203" t="str">
        <v>B0342-22</v>
      </c>
      <c r="B203" t="str" xml:space="preserve">
        <v xml:space="preserve">15 Beulah Lane_x000d__x000d_
Sandys, MA03</v>
      </c>
      <c r="C203" t="str">
        <v>Permitted Development</v>
      </c>
      <c r="D203" t="str">
        <v>Complete</v>
      </c>
      <c r="E203">
        <v>44778</v>
      </c>
      <c r="F203" t="str" xml:space="preserve">
        <v xml:space="preserve">Roof Mounted Solar PV System - 273 sq ft, 14x360W Modules, System Capacity: 5.04. _x000d__x000d_
*Revision* (1) No. of Panels: 21 x Peimar 360W  System Capacity : 7.56  System Area: 410 sqft</v>
      </c>
      <c r="G203">
        <v>5.04</v>
      </c>
      <c r="H203" t="str">
        <v>Residential</v>
      </c>
      <c r="I203">
        <v>44756</v>
      </c>
      <c r="J203">
        <v>45021</v>
      </c>
      <c r="K203" t="str">
        <v>Sandys</v>
      </c>
      <c r="L203">
        <v>46604</v>
      </c>
      <c r="M203">
        <v>45014</v>
      </c>
      <c r="N203" t="str">
        <v/>
      </c>
      <c r="O203" t="str">
        <v>Yes</v>
      </c>
      <c r="P203">
        <v>32.299217</v>
      </c>
      <c r="Q203">
        <v>-64.867237</v>
      </c>
    </row>
    <row r="204" xml:space="preserve">
      <c r="A204" t="str">
        <v>BC0084-22</v>
      </c>
      <c r="B204" t="str" xml:space="preserve">
        <v xml:space="preserve">7 North Shore Road_x000d__x000d_
Devonshire, DV01</v>
      </c>
      <c r="C204" t="str">
        <v>Building - Commercial</v>
      </c>
      <c r="D204" t="str">
        <v>Complete</v>
      </c>
      <c r="E204">
        <v>44778</v>
      </c>
      <c r="F204" t="str" xml:space="preserve">
        <v xml:space="preserve">Roof Top Solar, 34 - 345W PV Modules, (11.7 ), Annual Production 14,690 h, Total Area 684 Square Feet._x000d__x000d_
East Well, 24 - 345W PV Modules (8.26), Annual Production 10,369h, Total Area 483 Square Feet_x000d__x000d_
West Office, 10 - 345W PV Modules (3.44), Annual Production 4321h, Total Area 201 Square Feet</v>
      </c>
      <c r="G204">
        <v>11.67</v>
      </c>
      <c r="H204" t="str">
        <v>Building Commercial</v>
      </c>
      <c r="I204">
        <v>44760</v>
      </c>
      <c r="J204">
        <v>44833</v>
      </c>
      <c r="K204" t="str">
        <v>Devonshire</v>
      </c>
      <c r="L204">
        <v>46604</v>
      </c>
      <c r="M204">
        <v>44820</v>
      </c>
      <c r="N204" t="str">
        <v/>
      </c>
      <c r="O204" t="str">
        <v>Yes</v>
      </c>
      <c r="P204">
        <v>32.3074017</v>
      </c>
      <c r="Q204">
        <v>-64.7748124</v>
      </c>
    </row>
    <row r="205" xml:space="preserve">
      <c r="A205" t="str">
        <v>B0359-22</v>
      </c>
      <c r="B205" t="str" xml:space="preserve">
        <v xml:space="preserve">5 Crestwood Drive_x000d__x000d_
Pembroke, HM01</v>
      </c>
      <c r="C205" t="str">
        <v>Permitted Development</v>
      </c>
      <c r="D205" t="str">
        <v>Issued</v>
      </c>
      <c r="E205">
        <v>44778</v>
      </c>
      <c r="F205" t="str">
        <v>Roof Mounted Solar PV System - 234 sq ft,  12x360W Modules, System Capacity: 4.32, Wall Mounted Battery System - 16h</v>
      </c>
      <c r="G205">
        <v>4.32</v>
      </c>
      <c r="H205" t="str">
        <v>Residential</v>
      </c>
      <c r="I205">
        <v>44762</v>
      </c>
      <c r="J205">
        <v>45033</v>
      </c>
      <c r="K205" t="str">
        <v>Pembroke</v>
      </c>
      <c r="L205">
        <v>46604</v>
      </c>
      <c r="M205">
        <v>45015</v>
      </c>
      <c r="N205" t="str">
        <v/>
      </c>
      <c r="O205" t="str">
        <v>Yes</v>
      </c>
      <c r="P205">
        <v>32.303564</v>
      </c>
      <c r="Q205">
        <v>-64.815352</v>
      </c>
    </row>
    <row r="206" xml:space="preserve">
      <c r="A206" t="str">
        <v>B0227-22</v>
      </c>
      <c r="B206" t="str" xml:space="preserve">
        <v xml:space="preserve">122 North Shore Road_x000d__x000d_
Hamilton, CR01</v>
      </c>
      <c r="C206" t="str">
        <v>Permitted Development</v>
      </c>
      <c r="D206" t="str">
        <v>Complete</v>
      </c>
      <c r="E206">
        <v>44781</v>
      </c>
      <c r="F206" t="str">
        <v>Proposed Solar Panels Affixed to Roof. (41 panels total) 19 sq. ft. per Panel, 400W per panel; 779 sq. ft. Total, 16.4 Total.</v>
      </c>
      <c r="G206">
        <v>16.4</v>
      </c>
      <c r="H206" t="str">
        <v>Commercial</v>
      </c>
      <c r="I206">
        <v>44684</v>
      </c>
      <c r="J206">
        <v>45433</v>
      </c>
      <c r="K206" t="str">
        <v>Hamilton</v>
      </c>
      <c r="L206">
        <v>46608</v>
      </c>
      <c r="M206">
        <v>45425</v>
      </c>
      <c r="N206" t="str">
        <v/>
      </c>
      <c r="O206" t="str">
        <v>Yes</v>
      </c>
      <c r="P206">
        <v>32.340229</v>
      </c>
      <c r="Q206">
        <v>-64.736786</v>
      </c>
    </row>
    <row r="207" xml:space="preserve">
      <c r="A207" t="str">
        <v>B0365-22</v>
      </c>
      <c r="B207" t="str" xml:space="preserve">
        <v xml:space="preserve">20 Jennings Road_x000d__x000d_
Smiths, FL03</v>
      </c>
      <c r="C207" t="str">
        <v>Permitted Development</v>
      </c>
      <c r="D207" t="str">
        <v>Complete</v>
      </c>
      <c r="E207">
        <v>44789</v>
      </c>
      <c r="F207" t="str">
        <v>Roof Mounted solar PV system - 273 sq ft, 14 x 360W Modules, System Capacity: 5.04</v>
      </c>
      <c r="G207">
        <v>5.04</v>
      </c>
      <c r="H207" t="str">
        <v>Residential</v>
      </c>
      <c r="I207">
        <v>44763</v>
      </c>
      <c r="J207">
        <v>45168</v>
      </c>
      <c r="K207" t="str">
        <v>Smiths</v>
      </c>
      <c r="L207">
        <v>46615</v>
      </c>
      <c r="M207">
        <v>45160</v>
      </c>
      <c r="N207" t="str">
        <v/>
      </c>
      <c r="O207" t="str">
        <v>Yes</v>
      </c>
      <c r="P207">
        <v>32.320607</v>
      </c>
      <c r="Q207">
        <v>-64.741398</v>
      </c>
    </row>
    <row r="208" xml:space="preserve">
      <c r="A208" t="str">
        <v>B0373-22</v>
      </c>
      <c r="B208" t="str" xml:space="preserve">
        <v xml:space="preserve">2 Fairmont Drive_x000d__x000d_
Southampton, SN03</v>
      </c>
      <c r="C208" t="str">
        <v>Permitted Development</v>
      </c>
      <c r="D208" t="str">
        <v>Complete</v>
      </c>
      <c r="E208">
        <v>44790</v>
      </c>
      <c r="F208" t="str">
        <v>Roof Mounted Solar PV System - 471 sq ft, 24 x 365W Modules, System Capacity: 8.76</v>
      </c>
      <c r="G208">
        <v>8.76</v>
      </c>
      <c r="H208" t="str">
        <v>Residential</v>
      </c>
      <c r="I208">
        <v>44764</v>
      </c>
      <c r="J208">
        <v>45021</v>
      </c>
      <c r="K208" t="str">
        <v>Southampton</v>
      </c>
      <c r="L208">
        <v>46616</v>
      </c>
      <c r="M208">
        <v>45015</v>
      </c>
      <c r="N208" t="str">
        <v/>
      </c>
      <c r="O208" t="str">
        <v>Yes</v>
      </c>
      <c r="P208">
        <v>32.2532001</v>
      </c>
      <c r="Q208">
        <v>-64.8243495</v>
      </c>
    </row>
    <row r="209" xml:space="preserve">
      <c r="A209" t="str">
        <v>B0367-22</v>
      </c>
      <c r="B209" t="str" xml:space="preserve">
        <v xml:space="preserve">124 Middle Road_x000d__x000d_
Southampton, SN02</v>
      </c>
      <c r="C209" t="str">
        <v>Permitted Development</v>
      </c>
      <c r="D209" t="str">
        <v>Complete</v>
      </c>
      <c r="E209">
        <v>44790</v>
      </c>
      <c r="F209" t="str">
        <v>Roof Mounted Solar PV System - 314 sq ft, 16 Modules, 365W Modules, System Capacity: 5.84</v>
      </c>
      <c r="G209">
        <v>5.84</v>
      </c>
      <c r="H209" t="str">
        <v>Residential</v>
      </c>
      <c r="I209">
        <v>44764</v>
      </c>
      <c r="J209">
        <v>45279</v>
      </c>
      <c r="K209" t="str">
        <v>Southampton</v>
      </c>
      <c r="L209">
        <v>46616</v>
      </c>
      <c r="M209">
        <v>45257</v>
      </c>
      <c r="N209" t="str">
        <v/>
      </c>
      <c r="O209" t="str">
        <v>Yes</v>
      </c>
      <c r="P209">
        <v>32.255716</v>
      </c>
      <c r="Q209">
        <v>-64.83705</v>
      </c>
    </row>
    <row r="210" xml:space="preserve">
      <c r="A210" t="str">
        <v>B0371-22</v>
      </c>
      <c r="B210" t="str" xml:space="preserve">
        <v xml:space="preserve">18 Gilbert Hill_x000d__x000d_
Smiths, FL05</v>
      </c>
      <c r="C210" t="str">
        <v>Permitted Development</v>
      </c>
      <c r="D210" t="str">
        <v>Complete</v>
      </c>
      <c r="E210">
        <v>44790</v>
      </c>
      <c r="F210" t="str">
        <v>Roof Mounted Solar PV System - 432 sq ft, 22 x 365W Modules, System Capacity: 8.03</v>
      </c>
      <c r="G210">
        <v>8.03</v>
      </c>
      <c r="H210" t="str">
        <v>Residential</v>
      </c>
      <c r="I210">
        <v>44764</v>
      </c>
      <c r="J210">
        <v>45021</v>
      </c>
      <c r="K210" t="str">
        <v>Smiths</v>
      </c>
      <c r="L210">
        <v>46616</v>
      </c>
      <c r="M210">
        <v>45014</v>
      </c>
      <c r="N210" t="str">
        <v/>
      </c>
      <c r="O210" t="str">
        <v>Yes</v>
      </c>
      <c r="P210">
        <v>32.310405</v>
      </c>
      <c r="Q210">
        <v>-64.739284</v>
      </c>
    </row>
    <row r="211" xml:space="preserve">
      <c r="A211" t="str">
        <v>B0372-22</v>
      </c>
      <c r="B211" t="str" xml:space="preserve">
        <v xml:space="preserve">37 South Road_x000d__x000d_
Southampton, SN01</v>
      </c>
      <c r="C211" t="str">
        <v>Permitted Development</v>
      </c>
      <c r="D211" t="str">
        <v>Complete</v>
      </c>
      <c r="E211">
        <v>44790</v>
      </c>
      <c r="F211" t="str">
        <v xml:space="preserve">Roof Mounted Solar PV System - 546 sq ft, 28 Modules, 360W Modules, System Capacity: 10.08 </v>
      </c>
      <c r="G211">
        <v>10.08</v>
      </c>
      <c r="H211" t="str">
        <v>Residential</v>
      </c>
      <c r="I211">
        <v>44764</v>
      </c>
      <c r="J211">
        <v>44931</v>
      </c>
      <c r="K211" t="str">
        <v>Southampton</v>
      </c>
      <c r="L211">
        <v>46616</v>
      </c>
      <c r="M211">
        <v>44915</v>
      </c>
      <c r="N211" t="str">
        <v/>
      </c>
      <c r="O211" t="str">
        <v>Yes</v>
      </c>
      <c r="P211">
        <v>32.248954</v>
      </c>
      <c r="Q211">
        <v>-64.844145</v>
      </c>
    </row>
    <row r="212" xml:space="preserve">
      <c r="A212" t="str">
        <v>B0363-22</v>
      </c>
      <c r="B212" t="str" xml:space="preserve">
        <v xml:space="preserve">15 Kilderry Lane_x000d__x000d_
Smiths, FL02</v>
      </c>
      <c r="C212" t="str">
        <v>Permitted Development</v>
      </c>
      <c r="D212" t="str">
        <v>Complete</v>
      </c>
      <c r="E212">
        <v>44790</v>
      </c>
      <c r="F212" t="str">
        <v xml:space="preserve">Roof Mounted Solar PV System - 273 sq ft, 14 Modules, 360W Modules, System Capacity: 5.04, Wall Mounted Battery System - 3 </v>
      </c>
      <c r="G212">
        <v>5.04</v>
      </c>
      <c r="H212" t="str">
        <v>Residential</v>
      </c>
      <c r="I212">
        <v>44763</v>
      </c>
      <c r="J212">
        <v>44935</v>
      </c>
      <c r="K212" t="str">
        <v>Smiths</v>
      </c>
      <c r="L212">
        <v>46616</v>
      </c>
      <c r="M212">
        <v>44916</v>
      </c>
      <c r="N212" t="str">
        <v/>
      </c>
      <c r="O212" t="str">
        <v>Yes</v>
      </c>
      <c r="P212">
        <v>32.312085</v>
      </c>
      <c r="Q212">
        <v>-64.746432</v>
      </c>
    </row>
    <row r="213" xml:space="preserve">
      <c r="A213" t="str">
        <v>B0313-22</v>
      </c>
      <c r="B213" t="str" xml:space="preserve">
        <v xml:space="preserve">117 Middle Road_x000d__x000d_
Southampton, SN01</v>
      </c>
      <c r="C213" t="str">
        <v>Permitted Development</v>
      </c>
      <c r="D213" t="str">
        <v>Complete</v>
      </c>
      <c r="E213">
        <v>44790</v>
      </c>
      <c r="F213" t="str">
        <v>Roof Mounted Solar PV System - 351 sq ft, 18x360W Modules, System Capacity: 6.48</v>
      </c>
      <c r="G213">
        <v>6.48</v>
      </c>
      <c r="H213" t="str">
        <v>Residential</v>
      </c>
      <c r="I213">
        <v>44736</v>
      </c>
      <c r="J213">
        <v>44824</v>
      </c>
      <c r="K213" t="str">
        <v>Southampton</v>
      </c>
      <c r="L213">
        <v>46616</v>
      </c>
      <c r="M213">
        <v>44820</v>
      </c>
      <c r="N213" t="str">
        <v/>
      </c>
      <c r="O213" t="str">
        <v>Yes</v>
      </c>
      <c r="P213">
        <v>32.253657</v>
      </c>
      <c r="Q213">
        <v>-64.847854</v>
      </c>
    </row>
    <row r="214" xml:space="preserve">
      <c r="A214" t="str">
        <v>B0392-22</v>
      </c>
      <c r="B214" t="str" xml:space="preserve">
        <v xml:space="preserve">11 Bayfield Road_x000d__x000d_
Warwick, WK04</v>
      </c>
      <c r="C214" t="str">
        <v>Permitted Development</v>
      </c>
      <c r="D214" t="str">
        <v>Complete</v>
      </c>
      <c r="E214">
        <v>44790</v>
      </c>
      <c r="F214" t="str">
        <v>Roof Mounted Solar PV System - 468 sq ft, 24x360W Modules, System Capacity: 8.64</v>
      </c>
      <c r="G214">
        <v>8.64</v>
      </c>
      <c r="H214" t="str">
        <v>Residential</v>
      </c>
      <c r="I214">
        <v>44782</v>
      </c>
      <c r="J214">
        <v>45174</v>
      </c>
      <c r="K214" t="str">
        <v>Warwick</v>
      </c>
      <c r="L214">
        <v>46616</v>
      </c>
      <c r="M214">
        <v>45099</v>
      </c>
      <c r="N214" t="str">
        <v/>
      </c>
      <c r="O214" t="str">
        <v>Yes</v>
      </c>
      <c r="P214">
        <v>32.264681</v>
      </c>
      <c r="Q214">
        <v>-64.818537</v>
      </c>
    </row>
    <row r="215" xml:space="preserve">
      <c r="A215" t="str">
        <v>B0370-22</v>
      </c>
      <c r="B215" t="str" xml:space="preserve">
        <v xml:space="preserve">25 Gibbs Hill Road_x000d__x000d_
Southampton, SN02</v>
      </c>
      <c r="C215" t="str">
        <v>Permitted Development</v>
      </c>
      <c r="D215" t="str">
        <v>Issued</v>
      </c>
      <c r="E215">
        <v>44791</v>
      </c>
      <c r="F215" t="str">
        <v>Roof Mounted Solar PV System - 157 sq ft, 8 Modules, 365W Modules, System Capacity: 2.92</v>
      </c>
      <c r="G215">
        <v>2.92</v>
      </c>
      <c r="H215" t="str">
        <v>Residential</v>
      </c>
      <c r="I215">
        <v>44764</v>
      </c>
      <c r="J215">
        <v>45387</v>
      </c>
      <c r="K215" t="str">
        <v>Southampton</v>
      </c>
      <c r="L215">
        <v>46617</v>
      </c>
      <c r="M215">
        <v>45364</v>
      </c>
      <c r="N215" t="str">
        <v/>
      </c>
      <c r="O215" t="str">
        <v>Yes</v>
      </c>
      <c r="P215">
        <v>32.25372</v>
      </c>
      <c r="Q215">
        <v>-64.837044</v>
      </c>
    </row>
    <row r="216" xml:space="preserve">
      <c r="A216" t="str">
        <v>B0403-22</v>
      </c>
      <c r="B216" t="str" xml:space="preserve">
        <v xml:space="preserve">54 Knapton Estates Road_x000d__x000d_
Smiths, HS01</v>
      </c>
      <c r="C216" t="str">
        <v>Permitted Development</v>
      </c>
      <c r="D216" t="str">
        <v>Complete</v>
      </c>
      <c r="E216">
        <v>44798</v>
      </c>
      <c r="F216" t="str">
        <v>Roof Mounted Solar PV System -507 sq ft,  26x360W Modules, System Capacity: 9.36</v>
      </c>
      <c r="G216">
        <v>9.36</v>
      </c>
      <c r="H216" t="str">
        <v>Residential</v>
      </c>
      <c r="I216">
        <v>44789</v>
      </c>
      <c r="J216">
        <v>44566</v>
      </c>
      <c r="K216" t="str">
        <v>Smiths</v>
      </c>
      <c r="L216">
        <v>46624</v>
      </c>
      <c r="M216">
        <v>44907</v>
      </c>
      <c r="N216" t="str">
        <v/>
      </c>
      <c r="O216" t="str">
        <v>Yes</v>
      </c>
      <c r="P216">
        <v>32.319661</v>
      </c>
      <c r="Q216">
        <v>-64.716842</v>
      </c>
    </row>
    <row r="217" xml:space="preserve">
      <c r="A217" t="str">
        <v>B0398-22</v>
      </c>
      <c r="B217" t="str" xml:space="preserve">
        <v xml:space="preserve">8 Westwood Lane_x000d__x000d_
Paget, PG05</v>
      </c>
      <c r="C217" t="str">
        <v>Permitted Development</v>
      </c>
      <c r="D217" t="str">
        <v>Complete</v>
      </c>
      <c r="E217">
        <v>44802</v>
      </c>
      <c r="F217" t="str">
        <v>Roof Mounted Solar PV System -255 sq ft., 13x365W Modules, System Capacity: 4.745 , Wall Mounted Battery System - 3h</v>
      </c>
      <c r="G217">
        <v>4.745</v>
      </c>
      <c r="H217" t="str">
        <v>Residential</v>
      </c>
      <c r="I217">
        <v>44783</v>
      </c>
      <c r="J217">
        <v>45016</v>
      </c>
      <c r="K217" t="str">
        <v>Paget</v>
      </c>
      <c r="L217">
        <v>46629</v>
      </c>
      <c r="M217">
        <v>44985</v>
      </c>
      <c r="N217" t="str">
        <v/>
      </c>
      <c r="O217" t="str">
        <v>Yes</v>
      </c>
      <c r="P217">
        <v>32.287388</v>
      </c>
      <c r="Q217">
        <v>-64.780262</v>
      </c>
    </row>
    <row r="218" xml:space="preserve">
      <c r="A218" t="str">
        <v>B0405-22</v>
      </c>
      <c r="B218" t="str" xml:space="preserve">
        <v xml:space="preserve">8 Appleby Lane_x000d__x000d_
Paget, PG05</v>
      </c>
      <c r="C218" t="str">
        <v>Permitted Development</v>
      </c>
      <c r="D218" t="str">
        <v>Complete</v>
      </c>
      <c r="E218">
        <v>44803</v>
      </c>
      <c r="F218" t="str">
        <v>Proposed Installation of Roof Mounted Solar PV System: 22 Panels @ 435W/panel; 471.24 sq. ft. Coverage; 9.57 System.</v>
      </c>
      <c r="G218">
        <v>9.57</v>
      </c>
      <c r="H218" t="str">
        <v>Residential</v>
      </c>
      <c r="I218">
        <v>44791</v>
      </c>
      <c r="J218">
        <v>44811</v>
      </c>
      <c r="K218" t="str">
        <v>Paget</v>
      </c>
      <c r="L218">
        <v>46629</v>
      </c>
      <c r="M218">
        <v>44810</v>
      </c>
      <c r="N218" t="str">
        <v/>
      </c>
      <c r="O218" t="str">
        <v>Yes</v>
      </c>
      <c r="P218">
        <v>32.289</v>
      </c>
      <c r="Q218">
        <v>-64.771278</v>
      </c>
    </row>
    <row r="219" xml:space="preserve">
      <c r="A219" t="str">
        <v>B0395-22</v>
      </c>
      <c r="B219" t="str" xml:space="preserve">
        <v xml:space="preserve">11 Benevides Lane_x000d__x000d_
Southampton, SB04</v>
      </c>
      <c r="C219" t="str">
        <v>Permitted Development</v>
      </c>
      <c r="D219" t="str">
        <v>Complete</v>
      </c>
      <c r="E219">
        <v>44805</v>
      </c>
      <c r="F219" t="str">
        <v xml:space="preserve">Roof Mounted Solar PV System - 663 sq ft, 34x360W Modules, System Capacity:12.24 </v>
      </c>
      <c r="G219">
        <v>12.24</v>
      </c>
      <c r="H219" t="str">
        <v>Residential</v>
      </c>
      <c r="I219">
        <v>44783</v>
      </c>
      <c r="J219">
        <v>45154</v>
      </c>
      <c r="K219" t="str">
        <v>Southampton</v>
      </c>
      <c r="L219">
        <v>46631</v>
      </c>
      <c r="M219">
        <v>45149</v>
      </c>
      <c r="N219" t="str">
        <v/>
      </c>
      <c r="O219" t="str">
        <v>Yes</v>
      </c>
      <c r="P219">
        <v>32.256261</v>
      </c>
      <c r="Q219">
        <v>-64.862166</v>
      </c>
    </row>
    <row r="220" xml:space="preserve">
      <c r="A220" t="str">
        <v>B0410-22</v>
      </c>
      <c r="B220" t="str" xml:space="preserve">
        <v xml:space="preserve">12 Rose Hill Road_x000d__x000d_
Southampton, SB03</v>
      </c>
      <c r="C220" t="str">
        <v>Permitted Development</v>
      </c>
      <c r="D220" t="str">
        <v>Complete</v>
      </c>
      <c r="E220">
        <v>44805</v>
      </c>
      <c r="F220" t="str" xml:space="preserve">
        <v xml:space="preserve">Proposed Solar Panel Installation PV System: 435 Watt Panels; 16 Solar Panels; 342.74 sqft coverage, 6.96  system; 1 Tesla Powerwall 2 Unit.  _x000d__x000d_
*Revision* (1) Solar PV System: 15 panels @ 435 W/panel; 21.4 sq ft/panel; Total sq ft 321; Total System Capacity 6.52 ; Total annual output 9.46 h.</v>
      </c>
      <c r="G220">
        <v>6.52</v>
      </c>
      <c r="H220" t="str">
        <v>Residential</v>
      </c>
      <c r="I220">
        <v>44795</v>
      </c>
      <c r="J220">
        <v>45028</v>
      </c>
      <c r="K220" t="str">
        <v>Southampton</v>
      </c>
      <c r="L220">
        <v>46631</v>
      </c>
      <c r="M220">
        <v>45027</v>
      </c>
      <c r="N220" t="str">
        <v/>
      </c>
      <c r="O220" t="str">
        <v>Yes</v>
      </c>
      <c r="P220">
        <v>32.261708</v>
      </c>
      <c r="Q220">
        <v>-64.870568</v>
      </c>
    </row>
    <row r="221" xml:space="preserve">
      <c r="A221" t="str">
        <v>B0195-22</v>
      </c>
      <c r="B221" t="str" xml:space="preserve">
        <v xml:space="preserve">19 South Road_x000d__x000d_
Southampton, SN01</v>
      </c>
      <c r="C221" t="str">
        <v>Permitted Development</v>
      </c>
      <c r="D221" t="str">
        <v>Complete</v>
      </c>
      <c r="E221">
        <v>44810</v>
      </c>
      <c r="F221" t="str" xml:space="preserve">
        <v xml:space="preserve">Addition of New Kitchen Wing with Storage Below. Convert Garage to New Bedroom/ Bath. Alter Existing Driveway, Remove Deteriorated Retaining Wall and Regrade. Add Solar Panels, New 4' High Green Chain link Fence on Property Line._x000d__x000d_
*Revision* (1) Revised interior layout, eliminate works at lower level, enclose existing verandah and extend previously approved entry. Solar PV System (revised): 22 panels @ 315 W/panel; 395 sq ft; 6.93. _x000d__x000d_
*Revision* (2) Amendments to previously approved Building Permit, including changes to windows, electrical layout alterations and eliminating a gas supply line._x000d__x000d_
*Revision* (3) Change Bermuda True roof to Bermuda Slate roof._x000d__x000d_
*Revision* (4) Relocate Existing Driveway to Improve Sight Lines; Add a new upper deck with a pergola and store room below; add a new terraced patio with built-in chiminea; interior alterations_x000d__x000d_
*Revision* (5) Revision to lower batoom and bedroom</v>
      </c>
      <c r="G221">
        <v>6.93</v>
      </c>
      <c r="H221" t="str">
        <v>Residential</v>
      </c>
      <c r="I221">
        <v>44664</v>
      </c>
      <c r="J221">
        <v>45936</v>
      </c>
      <c r="K221" t="str">
        <v>Southampton</v>
      </c>
      <c r="L221">
        <v>46636</v>
      </c>
      <c r="M221">
        <v>45924</v>
      </c>
      <c r="N221" t="str">
        <v/>
      </c>
      <c r="O221" t="str">
        <v>Yes</v>
      </c>
      <c r="P221">
        <v>32.250391</v>
      </c>
      <c r="Q221">
        <v>-64.85057</v>
      </c>
    </row>
    <row r="222" xml:space="preserve">
      <c r="A222" t="str">
        <v>B0382-22</v>
      </c>
      <c r="B222" t="str" xml:space="preserve">
        <v xml:space="preserve">20 Woodbourne Avenue_x000d__x000d_
Pembroke, HM08</v>
      </c>
      <c r="C222" t="str">
        <v>Permitted Development</v>
      </c>
      <c r="D222" t="str">
        <v>Complete</v>
      </c>
      <c r="E222">
        <v>44811</v>
      </c>
      <c r="F222" t="str">
        <v>Installation of Roof Mounted Solar System. 53 Modules, 370W Each. 19,610 w/ Total. Module Area 18.82sf, 997.46 sq ft Total.</v>
      </c>
      <c r="G222">
        <v>19.61</v>
      </c>
      <c r="H222" t="str">
        <v>Residential</v>
      </c>
      <c r="I222">
        <v>44774</v>
      </c>
      <c r="J222">
        <v>45461</v>
      </c>
      <c r="K222" t="str">
        <v>Pembroke</v>
      </c>
      <c r="L222">
        <v>46637</v>
      </c>
      <c r="M222">
        <v>44893</v>
      </c>
      <c r="N222" t="str">
        <v/>
      </c>
      <c r="O222" t="str">
        <v>Yes</v>
      </c>
      <c r="P222">
        <v>32.2927844</v>
      </c>
      <c r="Q222">
        <v>-64.7895495</v>
      </c>
    </row>
    <row r="223" xml:space="preserve">
      <c r="A223" t="str">
        <v>B0423-22</v>
      </c>
      <c r="B223" t="str" xml:space="preserve">
        <v xml:space="preserve">8 South Avenue_x000d__x000d_
Southampton, SN03</v>
      </c>
      <c r="C223" t="str">
        <v>Permitted Development</v>
      </c>
      <c r="D223" t="str">
        <v>Complete</v>
      </c>
      <c r="E223">
        <v>44811</v>
      </c>
      <c r="F223" t="str">
        <v>Proposed Solar Panel Installation PV System: 435 Watt Panels; 8 Solar Panels; 171.37 sqft coverage, 3.48  system</v>
      </c>
      <c r="G223">
        <v>3.48</v>
      </c>
      <c r="H223" t="str">
        <v>Residential</v>
      </c>
      <c r="I223">
        <v>44803</v>
      </c>
      <c r="J223">
        <v>44889</v>
      </c>
      <c r="K223" t="str">
        <v>Southampton</v>
      </c>
      <c r="L223">
        <v>46637</v>
      </c>
      <c r="M223">
        <v>44887</v>
      </c>
      <c r="N223" t="str">
        <v/>
      </c>
      <c r="O223" t="str">
        <v>Yes</v>
      </c>
      <c r="P223">
        <v>32.255599</v>
      </c>
      <c r="Q223">
        <v>-64.822864</v>
      </c>
    </row>
    <row r="224" xml:space="preserve">
      <c r="A224" t="str">
        <v>B0411-22</v>
      </c>
      <c r="B224" t="str" xml:space="preserve">
        <v xml:space="preserve">4 Sears Hill Road_x000d__x000d_
Smiths, FL06</v>
      </c>
      <c r="C224" t="str">
        <v>Permitted Development</v>
      </c>
      <c r="D224" t="str">
        <v>Complete</v>
      </c>
      <c r="E224">
        <v>44811</v>
      </c>
      <c r="F224" t="str" xml:space="preserve">
        <v xml:space="preserve">Proposed Solar Panel Installation PV System: 380 Watt Panels; 16 Solar Panels; 316.8 sqft coverage, 6.08  system; 1 Tesla Powerwall 2 Unit_x000d__x000d_
*Revision 1: Solar PV System: 14 panels @ 435 w/panel; 21.4 sq ft/panel; Total Sq ft 299.6; Total System Capacity 6.09 ; Total Annual Output 8,831 h</v>
      </c>
      <c r="G224">
        <v>6.09</v>
      </c>
      <c r="H224" t="str">
        <v>Residential</v>
      </c>
      <c r="I224">
        <v>44796</v>
      </c>
      <c r="J224">
        <v>44958</v>
      </c>
      <c r="K224" t="str">
        <v>Smiths</v>
      </c>
      <c r="L224">
        <v>46637</v>
      </c>
      <c r="M224">
        <v>44945</v>
      </c>
      <c r="N224" t="str">
        <v/>
      </c>
      <c r="O224" t="str">
        <v>Yes</v>
      </c>
      <c r="P224">
        <v>32.313466</v>
      </c>
      <c r="Q224">
        <v>-64.733358</v>
      </c>
    </row>
    <row r="225" xml:space="preserve">
      <c r="A225" t="str">
        <v>B0426-22</v>
      </c>
      <c r="B225" t="str" xml:space="preserve">
        <v xml:space="preserve">17 Store Hill_x000d__x000d_
Smiths, FL03, Bermuda</v>
      </c>
      <c r="C225" t="str">
        <v>Permitted Development</v>
      </c>
      <c r="D225" t="str">
        <v>Complete</v>
      </c>
      <c r="E225">
        <v>44811</v>
      </c>
      <c r="F225" t="str">
        <v>Roof Mounted Solar PV System - 275 sq ft, 14x365W Modules, System Capacity: 5.11</v>
      </c>
      <c r="G225">
        <v>5.11</v>
      </c>
      <c r="H225" t="str">
        <v>Residential</v>
      </c>
      <c r="I225">
        <v>44805</v>
      </c>
      <c r="J225">
        <v>44972</v>
      </c>
      <c r="K225" t="str">
        <v>Smiths</v>
      </c>
      <c r="L225">
        <v>46637</v>
      </c>
      <c r="M225">
        <v>44971</v>
      </c>
      <c r="N225" t="str">
        <v/>
      </c>
      <c r="O225" t="str">
        <v>Yes</v>
      </c>
      <c r="P225">
        <v>32.3163615</v>
      </c>
      <c r="Q225">
        <v>-64.7462481</v>
      </c>
    </row>
    <row r="226" xml:space="preserve">
      <c r="A226" t="str">
        <v>B0413-22</v>
      </c>
      <c r="B226" t="str" xml:space="preserve">
        <v xml:space="preserve">79 Middle Road_x000d__x000d_
Warwick, WK06</v>
      </c>
      <c r="C226" t="str">
        <v>Permitted Development</v>
      </c>
      <c r="D226" t="str">
        <v>Complete</v>
      </c>
      <c r="E226">
        <v>44811</v>
      </c>
      <c r="F226" t="str">
        <v>Proposed Solar Panel Installation PV System: 380 Watt Panels; 13 Solar Panels; 257.4  sq ft Coverage, 4.94  System; 1 Tesla Powerwall 2 Unit</v>
      </c>
      <c r="G226">
        <v>4.94</v>
      </c>
      <c r="H226" t="str">
        <v>Residential</v>
      </c>
      <c r="I226">
        <v>44796</v>
      </c>
      <c r="J226">
        <v>44950</v>
      </c>
      <c r="K226" t="str">
        <v>Warwick</v>
      </c>
      <c r="L226">
        <v>46637</v>
      </c>
      <c r="M226">
        <v>44944</v>
      </c>
      <c r="N226" t="str">
        <v/>
      </c>
      <c r="O226" t="str">
        <v>Yes</v>
      </c>
      <c r="P226">
        <v>32.266766</v>
      </c>
      <c r="Q226">
        <v>-64.8088</v>
      </c>
    </row>
    <row r="227" xml:space="preserve">
      <c r="A227" t="str">
        <v>B0343-22</v>
      </c>
      <c r="B227" t="str" xml:space="preserve">
        <v xml:space="preserve">19 Stardust Drive_x000d__x000d_
Hamilton, CR01</v>
      </c>
      <c r="C227" t="str">
        <v>Permitted Development</v>
      </c>
      <c r="D227" t="str">
        <v>Complete</v>
      </c>
      <c r="E227">
        <v>44813</v>
      </c>
      <c r="F227" t="str">
        <v>Roof Mounted Solar PV System - 351 sq ft., 18x360W Modules , System Capacity: 6.48  ,Wall Mounted Battery System - 3.3h</v>
      </c>
      <c r="G227">
        <v>6.48</v>
      </c>
      <c r="H227" t="str">
        <v>Residential</v>
      </c>
      <c r="I227">
        <v>44757</v>
      </c>
      <c r="J227">
        <v>44950</v>
      </c>
      <c r="K227" t="str">
        <v>Hamilton</v>
      </c>
      <c r="L227">
        <v>46639</v>
      </c>
      <c r="M227">
        <v>44943</v>
      </c>
      <c r="N227" t="str">
        <v/>
      </c>
      <c r="O227" t="str">
        <v>Yes</v>
      </c>
      <c r="P227">
        <v>32.337594</v>
      </c>
      <c r="Q227">
        <v>-64.729783</v>
      </c>
    </row>
    <row r="228" xml:space="preserve">
      <c r="A228" t="str">
        <v>B0434-22</v>
      </c>
      <c r="B228" t="str" xml:space="preserve">
        <v xml:space="preserve">1 Two Way Mews_x000d__x000d_
Pembroke, HM17</v>
      </c>
      <c r="C228" t="str">
        <v>Permitted Development</v>
      </c>
      <c r="D228" t="str">
        <v>Complete</v>
      </c>
      <c r="E228">
        <v>44816</v>
      </c>
      <c r="F228" t="str">
        <v>Proposed installation of Solar PV System: 435 Watt Panels,12 Solar Panels, 257.04 sqft. total coverage, 5.22 system</v>
      </c>
      <c r="G228">
        <v>5.22</v>
      </c>
      <c r="H228" t="str">
        <v>Residential</v>
      </c>
      <c r="I228">
        <v>44810</v>
      </c>
      <c r="J228">
        <v>44846</v>
      </c>
      <c r="K228" t="str">
        <v>Pembroke</v>
      </c>
      <c r="L228">
        <v>46643</v>
      </c>
      <c r="M228">
        <v>44845</v>
      </c>
      <c r="N228" t="str">
        <v/>
      </c>
      <c r="O228" t="str">
        <v>Yes</v>
      </c>
      <c r="P228">
        <v>32.298826</v>
      </c>
      <c r="Q228">
        <v>-64.778847</v>
      </c>
    </row>
    <row r="229" xml:space="preserve">
      <c r="A229" t="str">
        <v>BR0184-22</v>
      </c>
      <c r="B229" t="str" xml:space="preserve">
        <v xml:space="preserve">10 Harrington Sound Road_x000d__x000d_
Smiths, FL07</v>
      </c>
      <c r="C229" t="str">
        <v>Building - Residential</v>
      </c>
      <c r="D229" t="str">
        <v>Complete</v>
      </c>
      <c r="E229">
        <v>44816</v>
      </c>
      <c r="F229" t="str">
        <v>Roof Mounted Solar PV System - 507 sq ft, 26x360W Modules 9.36 Total Capacity, Wall Mounted Battery Storage - 10h</v>
      </c>
      <c r="G229">
        <v>9.36</v>
      </c>
      <c r="H229" t="str">
        <v>Building Residential</v>
      </c>
      <c r="I229">
        <v>44783</v>
      </c>
      <c r="J229">
        <v>44860</v>
      </c>
      <c r="K229" t="str">
        <v>Smiths</v>
      </c>
      <c r="L229">
        <v>46643</v>
      </c>
      <c r="M229">
        <v>44859</v>
      </c>
      <c r="N229" t="str">
        <v/>
      </c>
      <c r="O229" t="str">
        <v>Yes</v>
      </c>
      <c r="P229">
        <v>32.324886</v>
      </c>
      <c r="Q229">
        <v>-64.715552</v>
      </c>
    </row>
    <row r="230" xml:space="preserve">
      <c r="A230" t="str">
        <v>B0440-22</v>
      </c>
      <c r="B230" t="str" xml:space="preserve">
        <v xml:space="preserve">99 Harrington Sound Road_x000d__x000d_
Smiths, HS02</v>
      </c>
      <c r="C230" t="str">
        <v>Permitted Development</v>
      </c>
      <c r="D230" t="str">
        <v>Complete</v>
      </c>
      <c r="E230">
        <v>44820</v>
      </c>
      <c r="F230" t="str">
        <v>Roof Mounted Solar PV System - 761 sq ft, 39x360W Modules, System Capacity: 14.04</v>
      </c>
      <c r="G230">
        <v>14.04</v>
      </c>
      <c r="H230" t="str">
        <v>Residential</v>
      </c>
      <c r="I230">
        <v>44813</v>
      </c>
      <c r="J230">
        <v>44867</v>
      </c>
      <c r="K230" t="str">
        <v>Smiths</v>
      </c>
      <c r="L230">
        <v>46646</v>
      </c>
      <c r="M230">
        <v>44862</v>
      </c>
      <c r="N230" t="str">
        <v/>
      </c>
      <c r="O230" t="str">
        <v>Yes</v>
      </c>
      <c r="P230">
        <v>32.324435</v>
      </c>
      <c r="Q230">
        <v>-64.715038</v>
      </c>
    </row>
    <row r="231" xml:space="preserve">
      <c r="A231" t="str">
        <v>B0412-22</v>
      </c>
      <c r="B231" t="str" xml:space="preserve">
        <v xml:space="preserve">12 Belmont Road_x000d__x000d_
Warwick, WK06</v>
      </c>
      <c r="C231" t="str">
        <v>Permitted Development</v>
      </c>
      <c r="D231" t="str">
        <v>Complete</v>
      </c>
      <c r="E231">
        <v>44820</v>
      </c>
      <c r="F231" t="str" xml:space="preserve">
        <v xml:space="preserve">Proposed Solar Panel Installation PV System: 380 Watt Panels; 13 Solar Panels; 257.4 sqft coverage, 4.94  system; 1 Tesla Powerwall 2 Unit._x000d__x000d_
*Revision* (1) Solar PV System: 12 panels @ 435 W/panel; 21.4 sq ft/panel; Total Sq ft 256.8; Total System Capacity 5.22 ; Total Annual Output 7.57 h.</v>
      </c>
      <c r="G231">
        <v>5.22</v>
      </c>
      <c r="H231" t="str">
        <v>Residential</v>
      </c>
      <c r="I231">
        <v>44796</v>
      </c>
      <c r="J231">
        <v>44931</v>
      </c>
      <c r="K231" t="str">
        <v>Warwick</v>
      </c>
      <c r="L231">
        <v>46646</v>
      </c>
      <c r="M231">
        <v>44904</v>
      </c>
      <c r="N231" t="str">
        <v/>
      </c>
      <c r="O231" t="str">
        <v>Yes</v>
      </c>
      <c r="P231">
        <v>32.274263</v>
      </c>
      <c r="Q231">
        <v>-64.803115</v>
      </c>
    </row>
    <row r="232" xml:space="preserve">
      <c r="A232" t="str">
        <v>B0394-22</v>
      </c>
      <c r="B232" t="str" xml:space="preserve">
        <v xml:space="preserve">8 Lone Palm Drive_x000d__x000d_
Pembroke, HM05</v>
      </c>
      <c r="C232" t="str">
        <v>Permitted Development</v>
      </c>
      <c r="D232" t="str">
        <v>Complete</v>
      </c>
      <c r="E232">
        <v>44824</v>
      </c>
      <c r="F232" t="str">
        <v>Roof Mounted Solar PV System - 981 sq ft, 42x430W Modules, System Capacity: 18.06, Wall Mounted Battery System - 30h</v>
      </c>
      <c r="G232">
        <v>18.06</v>
      </c>
      <c r="H232" t="str">
        <v>Residential</v>
      </c>
      <c r="I232">
        <v>44783</v>
      </c>
      <c r="J232">
        <v>44858</v>
      </c>
      <c r="K232" t="str">
        <v>Pembroke</v>
      </c>
      <c r="L232">
        <v>46650</v>
      </c>
      <c r="M232">
        <v>44848</v>
      </c>
      <c r="N232" t="str">
        <v/>
      </c>
      <c r="O232" t="str">
        <v>Yes</v>
      </c>
      <c r="P232">
        <v>32.295165</v>
      </c>
      <c r="Q232">
        <v>-64.80576</v>
      </c>
    </row>
    <row r="233" xml:space="preserve">
      <c r="A233" t="str">
        <v>B0428-22</v>
      </c>
      <c r="B233" t="str" xml:space="preserve">
        <v xml:space="preserve">9 Port Royal Gardens_x000d__x000d_
Southampton, BM SN01, Mexico</v>
      </c>
      <c r="C233" t="str">
        <v>Permitted Development</v>
      </c>
      <c r="D233" t="str">
        <v>Complete</v>
      </c>
      <c r="E233">
        <v>44826</v>
      </c>
      <c r="F233" t="str">
        <v>Roof Mounted Solar PV System - 254 sq ft, 13 x 360W Modules, System Capacity: 4.68</v>
      </c>
      <c r="G233">
        <v>4.68</v>
      </c>
      <c r="H233" t="str">
        <v>Residential</v>
      </c>
      <c r="I233">
        <v>44806</v>
      </c>
      <c r="J233">
        <v>44944</v>
      </c>
      <c r="K233" t="str">
        <v>Southampton</v>
      </c>
      <c r="L233">
        <v>46652</v>
      </c>
      <c r="M233">
        <v>44937</v>
      </c>
      <c r="N233" t="str">
        <v/>
      </c>
      <c r="O233" t="str">
        <v>Yes</v>
      </c>
      <c r="P233">
        <v>32.253296</v>
      </c>
      <c r="Q233">
        <v>-64.844369</v>
      </c>
    </row>
    <row r="234" xml:space="preserve">
      <c r="A234" t="str">
        <v>B0421-22</v>
      </c>
      <c r="B234" t="str" xml:space="preserve">
        <v xml:space="preserve">15 Mizzentop_x000d__x000d_
Warwick, WK06</v>
      </c>
      <c r="C234" t="str">
        <v>Permitted Development</v>
      </c>
      <c r="D234" t="str">
        <v>Complete</v>
      </c>
      <c r="E234">
        <v>44826</v>
      </c>
      <c r="F234" t="str">
        <v>Roof Mounted Solar PV System - 654 sq ft, 28x430W Modules, System Capacity: 12.04</v>
      </c>
      <c r="G234">
        <v>12.04</v>
      </c>
      <c r="H234" t="str">
        <v>Residential</v>
      </c>
      <c r="I234">
        <v>44803</v>
      </c>
      <c r="J234">
        <v>44931</v>
      </c>
      <c r="K234" t="str">
        <v>Warwick</v>
      </c>
      <c r="L234">
        <v>46652</v>
      </c>
      <c r="M234">
        <v>44902</v>
      </c>
      <c r="N234" t="str">
        <v/>
      </c>
      <c r="O234" t="str">
        <v>Yes</v>
      </c>
      <c r="P234">
        <v>32.273301</v>
      </c>
      <c r="Q234">
        <v>-64.807095</v>
      </c>
    </row>
    <row r="235" xml:space="preserve">
      <c r="A235" t="str">
        <v>B0414-22</v>
      </c>
      <c r="B235" t="str" xml:space="preserve">
        <v xml:space="preserve">5 Jennings Road_x000d__x000d_
Smiths, FL04</v>
      </c>
      <c r="C235" t="str">
        <v>Permitted Development</v>
      </c>
      <c r="D235" t="str">
        <v>Complete</v>
      </c>
      <c r="E235">
        <v>44826</v>
      </c>
      <c r="F235" t="str">
        <v>Proposed Solar Panel Installation PV System: 380 Watt Panels; 15 Solar Panels; 297 sqft coverage, 5.7  system</v>
      </c>
      <c r="G235">
        <v>5.7</v>
      </c>
      <c r="H235" t="str">
        <v>Residential</v>
      </c>
      <c r="I235">
        <v>44797</v>
      </c>
      <c r="J235">
        <v>44901</v>
      </c>
      <c r="K235" t="str">
        <v>Smiths</v>
      </c>
      <c r="L235">
        <v>46652</v>
      </c>
      <c r="M235">
        <v>44890</v>
      </c>
      <c r="N235" t="str">
        <v/>
      </c>
      <c r="O235" t="str">
        <v>Yes</v>
      </c>
      <c r="P235">
        <v>32.322108</v>
      </c>
      <c r="Q235">
        <v>-64.740832</v>
      </c>
    </row>
    <row r="236" xml:space="preserve">
      <c r="A236" t="str">
        <v>B0435-22</v>
      </c>
      <c r="B236" t="str" xml:space="preserve">
        <v xml:space="preserve">5 Sunset Pass_x000d__x000d_
Pembroke, HM03</v>
      </c>
      <c r="C236" t="str">
        <v>Permitted Development</v>
      </c>
      <c r="D236" t="str">
        <v>Complete</v>
      </c>
      <c r="E236">
        <v>44826</v>
      </c>
      <c r="F236" t="str">
        <v>Roof Top Solar, 12 - 345W PV Modules, (4.14 ), Annual Production 5,763 h, Total Area 242 Square Feet.</v>
      </c>
      <c r="G236">
        <v>4.14</v>
      </c>
      <c r="H236" t="str">
        <v>Residential</v>
      </c>
      <c r="I236">
        <v>44811</v>
      </c>
      <c r="J236">
        <v>44931</v>
      </c>
      <c r="K236" t="str">
        <v>Pembroke</v>
      </c>
      <c r="L236">
        <v>46652</v>
      </c>
      <c r="M236">
        <v>44929</v>
      </c>
      <c r="N236" t="str">
        <v/>
      </c>
      <c r="O236" t="str">
        <v>Yes</v>
      </c>
      <c r="P236">
        <v>32.304898</v>
      </c>
      <c r="Q236">
        <v>-64.801096</v>
      </c>
    </row>
    <row r="237" xml:space="preserve">
      <c r="A237" t="str">
        <v>B0445-22</v>
      </c>
      <c r="B237" t="str" xml:space="preserve">
        <v xml:space="preserve">35 Tuckers Town Road_x000d__x000d_
St. George's, HS02</v>
      </c>
      <c r="C237" t="str">
        <v>Permitted Development</v>
      </c>
      <c r="D237" t="str">
        <v>Complete</v>
      </c>
      <c r="E237">
        <v>44831</v>
      </c>
      <c r="F237" t="str">
        <v>Roof Mounted Solar PV System - 702 sq ft, 36x360W Modules, System Capacity: 12.96</v>
      </c>
      <c r="G237">
        <v>12.96</v>
      </c>
      <c r="H237" t="str">
        <v>Residential</v>
      </c>
      <c r="I237">
        <v>44820</v>
      </c>
      <c r="J237">
        <v>44972</v>
      </c>
      <c r="K237" t="str">
        <v>St. George</v>
      </c>
      <c r="L237">
        <v>46657</v>
      </c>
      <c r="M237">
        <v>44971</v>
      </c>
      <c r="N237" t="str">
        <v/>
      </c>
      <c r="O237" t="str">
        <v>Yes</v>
      </c>
      <c r="P237">
        <v>32.333606</v>
      </c>
      <c r="Q237">
        <v>-64.6874645</v>
      </c>
    </row>
    <row r="238" xml:space="preserve">
      <c r="A238" t="str">
        <v>B0437-22</v>
      </c>
      <c r="B238" t="str" xml:space="preserve">
        <v xml:space="preserve">2 Millhouse Bay Lane_x000d__x000d_
Hamilton, CR04</v>
      </c>
      <c r="C238" t="str">
        <v>Permitted Development</v>
      </c>
      <c r="D238" t="str">
        <v>Complete</v>
      </c>
      <c r="E238">
        <v>44831</v>
      </c>
      <c r="F238" t="str">
        <v>Roof Mounted Solar PV System - 176 sq ft, 9x360W Modules, System Capacity: 3.24</v>
      </c>
      <c r="G238">
        <v>3.24</v>
      </c>
      <c r="H238" t="str">
        <v>Residential</v>
      </c>
      <c r="I238">
        <v>44812</v>
      </c>
      <c r="J238">
        <v>44937</v>
      </c>
      <c r="K238" t="str">
        <v>Hamilton</v>
      </c>
      <c r="L238">
        <v>46657</v>
      </c>
      <c r="M238">
        <v>44916</v>
      </c>
      <c r="N238" t="str">
        <v/>
      </c>
      <c r="O238" t="str">
        <v>Yes</v>
      </c>
      <c r="P238">
        <v>32.34144</v>
      </c>
      <c r="Q238">
        <v>-64.708892</v>
      </c>
    </row>
    <row r="239" xml:space="preserve">
      <c r="A239" t="str">
        <v>B0225-22</v>
      </c>
      <c r="B239" t="str" xml:space="preserve">
        <v xml:space="preserve">15 Point Pleasant Road_x000d__x000d_
City of Hamilton, HM11</v>
      </c>
      <c r="C239" t="str">
        <v>Permitted Development</v>
      </c>
      <c r="D239" t="str">
        <v>Complete</v>
      </c>
      <c r="E239">
        <v>44834</v>
      </c>
      <c r="F239" t="str">
        <v>Proposed 54  x 400 watt Solar Panels, 18.5 sq ft/ Panel, Total  Array Coverage sq ft ; Total System 21.6.</v>
      </c>
      <c r="G239">
        <v>21.6</v>
      </c>
      <c r="H239" t="str">
        <v>Commercial</v>
      </c>
      <c r="I239">
        <v>44684</v>
      </c>
      <c r="J239">
        <v>45062</v>
      </c>
      <c r="K239" t="str">
        <v>City of Hamilton</v>
      </c>
      <c r="L239">
        <v>46660</v>
      </c>
      <c r="M239">
        <v>45027</v>
      </c>
      <c r="N239" t="str">
        <v/>
      </c>
      <c r="O239" t="str">
        <v>Yes</v>
      </c>
      <c r="P239">
        <v>32.2912</v>
      </c>
      <c r="Q239">
        <v>-64.787432</v>
      </c>
    </row>
    <row r="240" xml:space="preserve">
      <c r="A240" t="str">
        <v>B0436-22</v>
      </c>
      <c r="B240" t="str" xml:space="preserve">
        <v xml:space="preserve">33 Knapton Hill_x000d__x000d_
Smiths, FL08</v>
      </c>
      <c r="C240" t="str">
        <v>Permitted Development</v>
      </c>
      <c r="D240" t="str">
        <v>Complete</v>
      </c>
      <c r="E240">
        <v>44841</v>
      </c>
      <c r="F240" t="str">
        <v>Ground Mounted Solar PV System - 327 sq ft, 14x430W Modules, System Capacity: 6.02.  *Revision* (1) 14 x Peimar 430W,  System capacity- 6.02,  System Area (sqft) - 327</v>
      </c>
      <c r="G240">
        <v>6.02</v>
      </c>
      <c r="H240" t="str">
        <v>Residential</v>
      </c>
      <c r="I240">
        <v>44811</v>
      </c>
      <c r="J240">
        <v>45803</v>
      </c>
      <c r="K240" t="str">
        <v>Smiths</v>
      </c>
      <c r="L240">
        <v>46667</v>
      </c>
      <c r="M240">
        <v>45793</v>
      </c>
      <c r="N240" t="str">
        <v/>
      </c>
      <c r="O240" t="str">
        <v>Yes</v>
      </c>
      <c r="P240">
        <v>32.317326</v>
      </c>
      <c r="Q240">
        <v>-64.720308</v>
      </c>
    </row>
    <row r="241" xml:space="preserve">
      <c r="A241" t="str">
        <v>BR0190-22</v>
      </c>
      <c r="B241" t="str" xml:space="preserve">
        <v xml:space="preserve">44 West Side Road_x000d__x000d_
Sandys, MA04</v>
      </c>
      <c r="C241" t="str">
        <v>Building - Residential</v>
      </c>
      <c r="D241" t="str">
        <v>Complete</v>
      </c>
      <c r="E241">
        <v>44841</v>
      </c>
      <c r="F241" t="str">
        <v>Proposed Renovations to Existing Cottage Including New Roof Over Existing Porch, Addition of New Batoom/Laundry/Entrance Foyer, New Electrical and Pump Rooms, Internal Renovations, New Masonry Outdoor Shed and Solar Panels (304 sq. ft.-16 Panels) with System Capacity of 6.4</v>
      </c>
      <c r="G241">
        <v>6.4</v>
      </c>
      <c r="H241" t="str">
        <v>Building Residential</v>
      </c>
      <c r="I241">
        <v>44788</v>
      </c>
      <c r="J241">
        <v>45152</v>
      </c>
      <c r="K241" t="str">
        <v>Sandys</v>
      </c>
      <c r="L241">
        <v>46667</v>
      </c>
      <c r="M241">
        <v>45078</v>
      </c>
      <c r="N241" t="str">
        <v/>
      </c>
      <c r="O241" t="str">
        <v>Yes</v>
      </c>
      <c r="P241">
        <v>32.296346</v>
      </c>
      <c r="Q241">
        <v>-64.87516</v>
      </c>
    </row>
    <row r="242" xml:space="preserve">
      <c r="A242" t="str">
        <v>B0447-22</v>
      </c>
      <c r="B242" t="str" xml:space="preserve">
        <v xml:space="preserve">49 Paynters Hill_x000d__x000d_
St. George's, HS02</v>
      </c>
      <c r="C242" t="str">
        <v>Permitted Development</v>
      </c>
      <c r="D242" t="str">
        <v>Complete</v>
      </c>
      <c r="E242">
        <v>44845</v>
      </c>
      <c r="F242" t="str">
        <v>Roof Mounted Solar PV System - 550 sq ft, 28x365W Modules, System Capacity: 10.22</v>
      </c>
      <c r="G242">
        <v>10.22</v>
      </c>
      <c r="H242" t="str">
        <v>Residential</v>
      </c>
      <c r="I242">
        <v>44826</v>
      </c>
      <c r="J242">
        <v>45233</v>
      </c>
      <c r="K242" t="str">
        <v>Hamilton</v>
      </c>
      <c r="L242">
        <v>46671</v>
      </c>
      <c r="M242">
        <v>45230</v>
      </c>
      <c r="N242" t="str">
        <v/>
      </c>
      <c r="O242" t="str">
        <v>Yes</v>
      </c>
      <c r="P242">
        <v>32.3375</v>
      </c>
      <c r="Q242">
        <v>-64.70222</v>
      </c>
    </row>
    <row r="243" xml:space="preserve">
      <c r="A243" t="str">
        <v>B0446-22</v>
      </c>
      <c r="B243" t="str" xml:space="preserve">
        <v xml:space="preserve">24 Narrows Lane_x000d__x000d_
St. George's, DD01</v>
      </c>
      <c r="C243" t="str">
        <v>Permitted Development</v>
      </c>
      <c r="D243" t="str">
        <v>Complete</v>
      </c>
      <c r="E243">
        <v>44845</v>
      </c>
      <c r="F243" t="str">
        <v>Roof Mounted Solar PV System - 527 sq ft, 27x360W Modules, System Capacity: 9.72, Wall Mounted Battery System - 20h</v>
      </c>
      <c r="G243">
        <v>9.72</v>
      </c>
      <c r="H243" t="str">
        <v>Residential</v>
      </c>
      <c r="I243">
        <v>44824</v>
      </c>
      <c r="J243">
        <v>45012</v>
      </c>
      <c r="K243" t="str">
        <v>St. George</v>
      </c>
      <c r="L243">
        <v>46671</v>
      </c>
      <c r="M243">
        <v>44986</v>
      </c>
      <c r="N243" t="str">
        <v/>
      </c>
      <c r="O243" t="str">
        <v>Yes</v>
      </c>
      <c r="P243">
        <v>32.369447</v>
      </c>
      <c r="Q243">
        <v>-64.664483</v>
      </c>
    </row>
    <row r="244" xml:space="preserve">
      <c r="A244" t="str">
        <v>B0462-22</v>
      </c>
      <c r="B244" t="str" xml:space="preserve">
        <v xml:space="preserve">28 Southcourt Avenue_x000d__x000d_
Paget, PG06</v>
      </c>
      <c r="C244" t="str">
        <v>Permitted Development</v>
      </c>
      <c r="D244" t="str">
        <v>Complete</v>
      </c>
      <c r="E244">
        <v>44851</v>
      </c>
      <c r="F244" t="str">
        <v>Roof Mounted Solar PV System - 215 sq ft, 11x360W Modules, System Capacity: 3.96</v>
      </c>
      <c r="G244">
        <v>3.96</v>
      </c>
      <c r="H244" t="str">
        <v>Residential</v>
      </c>
      <c r="I244">
        <v>44839</v>
      </c>
      <c r="J244">
        <v>45098</v>
      </c>
      <c r="K244" t="str">
        <v>Paget</v>
      </c>
      <c r="L244">
        <v>46678</v>
      </c>
      <c r="M244">
        <v>45092</v>
      </c>
      <c r="N244" t="str">
        <v/>
      </c>
      <c r="O244" t="str">
        <v>Yes</v>
      </c>
      <c r="P244">
        <v>32.287374</v>
      </c>
      <c r="Q244">
        <v>-64.764142</v>
      </c>
    </row>
    <row r="245" xml:space="preserve">
      <c r="A245" t="str">
        <v>B0466-22</v>
      </c>
      <c r="B245" t="str" xml:space="preserve">
        <v xml:space="preserve">10 Rockywold Road_x000d__x000d_
Sandys, SB03</v>
      </c>
      <c r="C245" t="str">
        <v>Permitted Development</v>
      </c>
      <c r="D245" t="str">
        <v>Complete</v>
      </c>
      <c r="E245">
        <v>44851</v>
      </c>
      <c r="F245" t="str">
        <v>Roof Mounted Solar PV System - 254 sq ft, 13x360W Modules, System Capacity: 4.68</v>
      </c>
      <c r="G245">
        <v>4.68</v>
      </c>
      <c r="H245" t="str">
        <v>Residential</v>
      </c>
      <c r="I245">
        <v>44840</v>
      </c>
      <c r="J245">
        <v>45098</v>
      </c>
      <c r="K245" t="str">
        <v>Sandys</v>
      </c>
      <c r="L245">
        <v>46678</v>
      </c>
      <c r="M245">
        <v>45098</v>
      </c>
      <c r="N245" t="str">
        <v/>
      </c>
      <c r="O245" t="str">
        <v>Yes</v>
      </c>
      <c r="P245">
        <v>32.268524</v>
      </c>
      <c r="Q245">
        <v>-64.879506</v>
      </c>
    </row>
    <row r="246" xml:space="preserve">
      <c r="A246" t="str">
        <v>B0459-22</v>
      </c>
      <c r="B246" t="str" xml:space="preserve">
        <v xml:space="preserve">15 Gilbert Hill_x000d__x000d_
Smiths, FL05</v>
      </c>
      <c r="C246" t="str">
        <v>Permitted Development</v>
      </c>
      <c r="D246" t="str">
        <v>Complete</v>
      </c>
      <c r="E246">
        <v>44851</v>
      </c>
      <c r="F246" t="str">
        <v>Roof Mounted Solar PV System - 351 sq ft, 18x360W Modules, System Capacity: 6.48</v>
      </c>
      <c r="G246">
        <v>6.48</v>
      </c>
      <c r="H246" t="str">
        <v>Residential</v>
      </c>
      <c r="I246">
        <v>44839</v>
      </c>
      <c r="J246">
        <v>45062</v>
      </c>
      <c r="K246" t="str">
        <v>Smiths</v>
      </c>
      <c r="L246">
        <v>46678</v>
      </c>
      <c r="M246">
        <v>45033</v>
      </c>
      <c r="N246" t="str">
        <v/>
      </c>
      <c r="O246" t="str">
        <v>Yes</v>
      </c>
      <c r="P246">
        <v>32.310215</v>
      </c>
      <c r="Q246">
        <v>-64.73868</v>
      </c>
    </row>
    <row r="247" xml:space="preserve">
      <c r="A247" t="str">
        <v>B0500-22</v>
      </c>
      <c r="B247" t="str" xml:space="preserve">
        <v xml:space="preserve">27 Cherry Hill Park_x000d__x000d_
Paget, PG03</v>
      </c>
      <c r="C247" t="str">
        <v>Permitted Development</v>
      </c>
      <c r="D247" t="str">
        <v>Complete</v>
      </c>
      <c r="E247">
        <v>44867</v>
      </c>
      <c r="F247" t="str">
        <v xml:space="preserve">Solar PV System: 7 Panels @ 380W/ Panel; 19.8 sq ft. / Panel; Total sq ft 138.6; Total System Capacity 2.66 ; Total Annual Output 3,724 </v>
      </c>
      <c r="G247">
        <v>2.66</v>
      </c>
      <c r="H247" t="str">
        <v>Residential</v>
      </c>
      <c r="I247">
        <v>44855</v>
      </c>
      <c r="J247">
        <v>44937</v>
      </c>
      <c r="K247" t="str">
        <v>Paget</v>
      </c>
      <c r="L247">
        <v>46693</v>
      </c>
      <c r="M247">
        <v>44931</v>
      </c>
      <c r="N247" t="str">
        <v/>
      </c>
      <c r="O247" t="str">
        <v>Yes</v>
      </c>
      <c r="P247">
        <v>32.277398</v>
      </c>
      <c r="Q247">
        <v>-64.78452</v>
      </c>
    </row>
    <row r="248" xml:space="preserve">
      <c r="A248" t="str">
        <v>B0494-22</v>
      </c>
      <c r="B248" t="str" xml:space="preserve">
        <v xml:space="preserve">38 Clarendon Road_x000d__x000d_
Hamilton, FL04</v>
      </c>
      <c r="C248" t="str">
        <v>Permitted Development</v>
      </c>
      <c r="D248" t="str">
        <v>Complete</v>
      </c>
      <c r="E248">
        <v>44867</v>
      </c>
      <c r="F248" t="str" xml:space="preserve">
        <v xml:space="preserve">Solar PV System: 12 Panels, 380w panel; 19.74 sq ft/panel; Total sq ft 237.60_x000d_
Total System Capacity 4.56; Annual Output 6,384h</v>
      </c>
      <c r="G248">
        <v>4.56</v>
      </c>
      <c r="H248" t="str">
        <v>Residential</v>
      </c>
      <c r="I248">
        <v>44853</v>
      </c>
      <c r="J248">
        <v>44993</v>
      </c>
      <c r="K248" t="str">
        <v>Bermuda</v>
      </c>
      <c r="L248">
        <v>46693</v>
      </c>
      <c r="M248">
        <v>44979</v>
      </c>
      <c r="N248" t="str">
        <v/>
      </c>
      <c r="O248" t="str">
        <v>Yes</v>
      </c>
      <c r="P248">
        <v>32.320337</v>
      </c>
      <c r="Q248">
        <v>-64.738059</v>
      </c>
    </row>
    <row r="249" xml:space="preserve">
      <c r="A249" t="str">
        <v>B0481-22</v>
      </c>
      <c r="B249" t="str" xml:space="preserve">
        <v xml:space="preserve">6 Bay View Drive_x000d__x000d_
Southampton, SN01</v>
      </c>
      <c r="C249" t="str">
        <v>Permitted Development</v>
      </c>
      <c r="D249" t="str">
        <v>Complete</v>
      </c>
      <c r="E249">
        <v>44867</v>
      </c>
      <c r="F249" t="str">
        <v>Proposed Installation of Solar PV System. 10.64 System Covering 552.72 sq ft. 28, 380w Meyer Burger Solar Panels</v>
      </c>
      <c r="G249">
        <v>10.64</v>
      </c>
      <c r="H249" t="str">
        <v>Residential</v>
      </c>
      <c r="I249">
        <v>44847</v>
      </c>
      <c r="J249">
        <v>45007</v>
      </c>
      <c r="K249" t="str">
        <v>Southampton</v>
      </c>
      <c r="L249">
        <v>46693</v>
      </c>
      <c r="M249">
        <v>44952</v>
      </c>
      <c r="N249" t="str">
        <v/>
      </c>
      <c r="O249" t="str">
        <v>Yes</v>
      </c>
      <c r="P249">
        <v>32.253871</v>
      </c>
      <c r="Q249">
        <v>-64.849624</v>
      </c>
    </row>
    <row r="250" xml:space="preserve">
      <c r="A250" t="str">
        <v>B0496-22</v>
      </c>
      <c r="B250" t="str" xml:space="preserve">
        <v xml:space="preserve">8 Inghams Drive_x000d__x000d_
Pembroke, HM04</v>
      </c>
      <c r="C250" t="str">
        <v>Permitted Development</v>
      </c>
      <c r="D250" t="str">
        <v>Complete</v>
      </c>
      <c r="E250">
        <v>44867</v>
      </c>
      <c r="F250" t="str">
        <v>Roof Mounted Solar PV System - 412 sq ft, 21x365W Modules, System Capacity: 7.665</v>
      </c>
      <c r="G250">
        <v>7.665</v>
      </c>
      <c r="H250" t="str">
        <v>Residential</v>
      </c>
      <c r="I250">
        <v>44854</v>
      </c>
      <c r="J250">
        <v>45119</v>
      </c>
      <c r="K250" t="str">
        <v>Pembroke</v>
      </c>
      <c r="L250">
        <v>46693</v>
      </c>
      <c r="M250">
        <v>45118</v>
      </c>
      <c r="N250" t="str">
        <v/>
      </c>
      <c r="O250" t="str">
        <v>Yes</v>
      </c>
      <c r="P250">
        <v>32.304897</v>
      </c>
      <c r="Q250">
        <v>-64.800542</v>
      </c>
    </row>
    <row r="251" xml:space="preserve">
      <c r="A251" t="str">
        <v>B0485-22</v>
      </c>
      <c r="B251" t="str" xml:space="preserve">
        <v xml:space="preserve">8 Scarrington Hill_x000d__x000d_
Paget, PG03</v>
      </c>
      <c r="C251" t="str">
        <v>Permitted Development</v>
      </c>
      <c r="D251" t="str">
        <v>Complete</v>
      </c>
      <c r="E251">
        <v>44867</v>
      </c>
      <c r="F251" t="str">
        <v>Solar PV System: 27 Panels 380W/panel; 19.74 sq ft/panel; Total sq ft 532.98; Total system capacity 10.6; Total Annual Output 14,877  *Revision 1: Solar PV System: 27 Panels 380W/panel; 19.74 sq ft/panel; Total sq ft 532.98; Total system capacity 10.6; Total Annual Output 14,877 h</v>
      </c>
      <c r="G251">
        <v>10.6</v>
      </c>
      <c r="H251" t="str">
        <v>Residential</v>
      </c>
      <c r="I251">
        <v>44851</v>
      </c>
      <c r="J251">
        <v>44966</v>
      </c>
      <c r="K251" t="str">
        <v>Paget</v>
      </c>
      <c r="L251">
        <v>46693</v>
      </c>
      <c r="M251">
        <v>44965</v>
      </c>
      <c r="N251" t="str">
        <v/>
      </c>
      <c r="O251" t="str">
        <v>Yes</v>
      </c>
      <c r="P251">
        <v>32.279714</v>
      </c>
      <c r="Q251">
        <v>-64.786672</v>
      </c>
    </row>
    <row r="252" xml:space="preserve">
      <c r="A252" t="str">
        <v>BR0213-22</v>
      </c>
      <c r="B252" t="str" xml:space="preserve">
        <v xml:space="preserve">7 Mill Shares Road_x000d__x000d_
Pembroke, HM05</v>
      </c>
      <c r="C252" t="str">
        <v>Building - Residential</v>
      </c>
      <c r="D252" t="str">
        <v>Under Construction</v>
      </c>
      <c r="E252">
        <v>44872</v>
      </c>
      <c r="F252" t="str" xml:space="preserve">
        <v xml:space="preserve">Proposed Roof Mounted Solar PV System 48 x 400 Watts Panels, 912 Sq.ft. Total Capacity- 19.2 (transferred from BC0022-22). *Revision* (1) Existing Solar Panels at Pergola: PV Solar System 33 panels @ 400W/panel; 19sq.ft./panel; Total System area 627 sq. ft.; Total DC Output 13.2 ; Annual Output 17,103 h; Total AC Output 11.35 ._x000d_
Proposed Solar Panels @ Pergola and Roof: PV Solar System 33 panels @ 430W/panel; 20.4sq.ft./panel; Total System area 673.2 sq. ft.; Total DC Output 14.19 ; Annual Output 19,489 h; Total AC Output 12.20 ._x000d_
Energy Storage System total power rating 15.36 ; Energy storage capacity 20h._x000d_
_x000d_
Total Solar Panels:  Total System area 1,300.2 sq.ft.; Total DC Output 27.39 ; Annual Output 36,592 h; Total AC Output 23.55 .</v>
      </c>
      <c r="G252">
        <v>23.55</v>
      </c>
      <c r="H252" t="str">
        <v>Building Residential</v>
      </c>
      <c r="I252">
        <v>44826</v>
      </c>
      <c r="J252" t="str">
        <v/>
      </c>
      <c r="K252" t="str">
        <v>Pembroke</v>
      </c>
      <c r="L252">
        <v>46699</v>
      </c>
      <c r="M252">
        <v>44978</v>
      </c>
      <c r="N252" t="str">
        <v/>
      </c>
      <c r="O252" t="str">
        <v>Yes</v>
      </c>
      <c r="P252">
        <v>32.296819</v>
      </c>
      <c r="Q252">
        <v>-64.80178</v>
      </c>
    </row>
    <row r="253" xml:space="preserve">
      <c r="A253" t="str">
        <v>BREV0403-22</v>
      </c>
      <c r="B253" t="str" xml:space="preserve">
        <v xml:space="preserve">8 Holly Lane_x000d__x000d_
Smiths, BM FL04, Mexico</v>
      </c>
      <c r="C253" t="str">
        <v>Permit Revision</v>
      </c>
      <c r="D253" t="str">
        <v>Complete</v>
      </c>
      <c r="E253">
        <v>44873</v>
      </c>
      <c r="F253" t="str">
        <v>1. Security Fence Relocation  2.Pool Pump Room Relocation 3. French Doors to Replace Double Window  4.Photovoltaic Array Addition 10 panels @ 360W/panel; 180 sq ft total; 3.6 Total Output</v>
      </c>
      <c r="G253">
        <v>3.6</v>
      </c>
      <c r="H253" t="str">
        <v>Residential Revision</v>
      </c>
      <c r="I253">
        <v>44846</v>
      </c>
      <c r="J253">
        <v>44895</v>
      </c>
      <c r="K253" t="str">
        <v>Smiths</v>
      </c>
      <c r="L253" t="str">
        <v/>
      </c>
      <c r="M253" t="str">
        <v/>
      </c>
      <c r="N253" t="str">
        <v/>
      </c>
      <c r="O253" t="str">
        <v>Yes</v>
      </c>
      <c r="P253">
        <v>32.320226</v>
      </c>
      <c r="Q253">
        <v>-64.7395011</v>
      </c>
    </row>
    <row r="254" xml:space="preserve">
      <c r="A254" t="str">
        <v>BC0052-22</v>
      </c>
      <c r="B254" t="str" xml:space="preserve">
        <v xml:space="preserve">37 Richmond Road_x000d__x000d_
City of Hamilton, HM08</v>
      </c>
      <c r="C254" t="str">
        <v>Building - Commercial</v>
      </c>
      <c r="D254" t="str">
        <v>Issued</v>
      </c>
      <c r="E254">
        <v>44874</v>
      </c>
      <c r="F254" t="str">
        <v xml:space="preserve">Proposed Roof Mounted Solar PV System 64 Panels - 1,216 sq. ft total, Total Capacity 25.6. *Revision 1: Proposed 7x additional roof mounted panels (133 sq ft). 71 Panels - 1346 sq. ft total, Total Capacity 28.4 </v>
      </c>
      <c r="G254">
        <v>28.4</v>
      </c>
      <c r="H254" t="str">
        <v>Building Commercial</v>
      </c>
      <c r="I254">
        <v>44685</v>
      </c>
      <c r="J254">
        <v>45432</v>
      </c>
      <c r="K254" t="str">
        <v>Devonshire</v>
      </c>
      <c r="L254">
        <v>46700</v>
      </c>
      <c r="M254">
        <v>45233</v>
      </c>
      <c r="N254" t="str">
        <v/>
      </c>
      <c r="O254" t="str">
        <v>Yes</v>
      </c>
      <c r="P254">
        <v>32.2942516</v>
      </c>
      <c r="Q254">
        <v>-64.7880402</v>
      </c>
    </row>
    <row r="255" xml:space="preserve">
      <c r="A255" t="str">
        <v>BR0229-22</v>
      </c>
      <c r="B255" t="str" xml:space="preserve">
        <v xml:space="preserve">10 Bluebird Lane_x000d__x000d_
Sandys, MA06</v>
      </c>
      <c r="C255" t="str">
        <v>Building - Residential</v>
      </c>
      <c r="D255" t="str">
        <v>Complete</v>
      </c>
      <c r="E255">
        <v>44875</v>
      </c>
      <c r="F255" t="str">
        <v xml:space="preserve">Roof Mounted Solar PV System - 410 sq ft, 21x360W Modules, System Capacity: 7.56 </v>
      </c>
      <c r="G255">
        <v>7.56</v>
      </c>
      <c r="H255" t="str">
        <v>Building Residential</v>
      </c>
      <c r="I255">
        <v>44853</v>
      </c>
      <c r="J255">
        <v>45076</v>
      </c>
      <c r="K255" t="str">
        <v>Sandys</v>
      </c>
      <c r="L255">
        <v>46701</v>
      </c>
      <c r="M255">
        <v>45042</v>
      </c>
      <c r="N255" t="str">
        <v/>
      </c>
      <c r="O255" t="str">
        <v>Yes</v>
      </c>
      <c r="P255">
        <v>32.2794681</v>
      </c>
      <c r="Q255">
        <v>-64.8749615</v>
      </c>
    </row>
    <row r="256" xml:space="preserve">
      <c r="A256" t="str">
        <v>B0514-22</v>
      </c>
      <c r="B256" t="str" xml:space="preserve">
        <v xml:space="preserve">4 St. Anne's Close_x000d__x000d_
Southampton, SN01</v>
      </c>
      <c r="C256" t="str">
        <v>Permitted Development</v>
      </c>
      <c r="D256" t="str">
        <v>Complete</v>
      </c>
      <c r="E256">
        <v>44879</v>
      </c>
      <c r="F256" t="str">
        <v>Roof Top Solar, 22 - 345W PV Modules, (7.59 ), Annual Production 10,190 h, Total Area 443 Square Feet.</v>
      </c>
      <c r="G256">
        <v>7.59</v>
      </c>
      <c r="H256" t="str">
        <v>Residential</v>
      </c>
      <c r="I256">
        <v>44868</v>
      </c>
      <c r="J256">
        <v>45001</v>
      </c>
      <c r="K256" t="str">
        <v>Southampton</v>
      </c>
      <c r="L256">
        <v>46706</v>
      </c>
      <c r="M256">
        <v>45000</v>
      </c>
      <c r="N256" t="str">
        <v/>
      </c>
      <c r="O256" t="str">
        <v>Yes</v>
      </c>
      <c r="P256">
        <v>32.249996</v>
      </c>
      <c r="Q256">
        <v>-64.843622</v>
      </c>
    </row>
    <row r="257" xml:space="preserve">
      <c r="A257" t="str">
        <v>B0519-22</v>
      </c>
      <c r="B257" t="str" xml:space="preserve">
        <v xml:space="preserve">2 Second Avenue_x000d__x000d_
Pembroke, HM19</v>
      </c>
      <c r="C257" t="str">
        <v>Permitted Development</v>
      </c>
      <c r="D257" t="str">
        <v>Issued</v>
      </c>
      <c r="E257">
        <v>44879</v>
      </c>
      <c r="F257" t="str">
        <v>Roof Top Solar, 14 - 345W PV Modules, (4.83 ), Annual Production 5,113 h, Total Area 10812 Square Feet.</v>
      </c>
      <c r="G257">
        <v>4.83</v>
      </c>
      <c r="H257" t="str">
        <v>Residential</v>
      </c>
      <c r="I257">
        <v>44872</v>
      </c>
      <c r="J257" t="str">
        <v/>
      </c>
      <c r="K257" t="str">
        <v>Pembroke</v>
      </c>
      <c r="L257">
        <v>46706</v>
      </c>
      <c r="M257">
        <v>44900</v>
      </c>
      <c r="N257" t="str">
        <v/>
      </c>
      <c r="O257" t="str">
        <v>Yes</v>
      </c>
      <c r="P257">
        <v>32.2955659</v>
      </c>
      <c r="Q257">
        <v>-64.7735148</v>
      </c>
    </row>
    <row r="258" xml:space="preserve">
      <c r="A258" t="str">
        <v>B0524-22</v>
      </c>
      <c r="B258" t="str" xml:space="preserve">
        <v xml:space="preserve">6 Watch Hill Lane_x000d__x000d_
Warwick, WK04</v>
      </c>
      <c r="C258" t="str">
        <v>Permitted Development</v>
      </c>
      <c r="D258" t="str">
        <v>Complete</v>
      </c>
      <c r="E258">
        <v>44879</v>
      </c>
      <c r="F258" t="str">
        <v>Roof Mounted Solar PV System - 371 sq ft., 19x360W Modules, System Capacity: 6.84</v>
      </c>
      <c r="G258">
        <v>6.84</v>
      </c>
      <c r="H258" t="str">
        <v>Residential</v>
      </c>
      <c r="I258">
        <v>44873</v>
      </c>
      <c r="J258">
        <v>45128</v>
      </c>
      <c r="K258" t="str">
        <v>Warwick</v>
      </c>
      <c r="L258">
        <v>46706</v>
      </c>
      <c r="M258">
        <v>45057</v>
      </c>
      <c r="N258" t="str">
        <v/>
      </c>
      <c r="O258" t="str">
        <v>Yes</v>
      </c>
      <c r="P258">
        <v>32.265783</v>
      </c>
      <c r="Q258">
        <v>-64.814065</v>
      </c>
    </row>
    <row r="259" xml:space="preserve">
      <c r="A259" t="str">
        <v>BR0238-22</v>
      </c>
      <c r="B259" t="str" xml:space="preserve">
        <v xml:space="preserve">7 Fairways Road_x000d__x000d_
Warwick, WK04</v>
      </c>
      <c r="C259" t="str">
        <v>Building - Residential</v>
      </c>
      <c r="D259" t="str">
        <v>Complete</v>
      </c>
      <c r="E259">
        <v>44887</v>
      </c>
      <c r="F259" t="str">
        <v xml:space="preserve">Solar PV System: 27 panels @ 380 W/ Panel; 19.8 sq ft/panel; Total sq ft 534.6; Total System Capacity 10.26 ; Total Annual Output 14.8 </v>
      </c>
      <c r="G259">
        <v>10.26</v>
      </c>
      <c r="H259" t="str">
        <v>Building Residential</v>
      </c>
      <c r="I259">
        <v>44860</v>
      </c>
      <c r="J259">
        <v>44950</v>
      </c>
      <c r="K259" t="str">
        <v>Warwick</v>
      </c>
      <c r="L259">
        <v>46713</v>
      </c>
      <c r="M259">
        <v>44939</v>
      </c>
      <c r="N259" t="str">
        <v/>
      </c>
      <c r="O259" t="str">
        <v>Yes</v>
      </c>
      <c r="P259">
        <v>32.264251</v>
      </c>
      <c r="Q259">
        <v>-64.826365</v>
      </c>
    </row>
    <row r="260" xml:space="preserve">
      <c r="A260" t="str">
        <v>B0490-22</v>
      </c>
      <c r="B260" t="str" xml:space="preserve">
        <v xml:space="preserve">23 Rebecca Road_x000d__x000d_
Southampton, SN04</v>
      </c>
      <c r="C260" t="str">
        <v>Permitted Development</v>
      </c>
      <c r="D260" t="str">
        <v>Complete</v>
      </c>
      <c r="E260">
        <v>44888</v>
      </c>
      <c r="F260" t="str" xml:space="preserve">
        <v xml:space="preserve">SOLAR PANEL INSTALLATION, PV SYSTEM: 435 WATT, 25 SOLAR PANELS, _x000d__x000d_
535.54 SQFT COVERAGE, 10.87  SYSTEM</v>
      </c>
      <c r="G260">
        <v>10.87</v>
      </c>
      <c r="H260" t="str">
        <v>Residential</v>
      </c>
      <c r="I260">
        <v>44852</v>
      </c>
      <c r="J260">
        <v>44973</v>
      </c>
      <c r="K260" t="str">
        <v>Southampton</v>
      </c>
      <c r="L260">
        <v>46714</v>
      </c>
      <c r="M260">
        <v>44946</v>
      </c>
      <c r="N260" t="str">
        <v/>
      </c>
      <c r="O260" t="str">
        <v>Yes</v>
      </c>
      <c r="P260">
        <v>32.258812</v>
      </c>
      <c r="Q260">
        <v>-64.831001</v>
      </c>
    </row>
    <row r="261" xml:space="preserve">
      <c r="A261" t="str">
        <v>BREV0426-22</v>
      </c>
      <c r="B261" t="str" xml:space="preserve">
        <v xml:space="preserve">31 Tamarind Vale_x000d__x000d_
Warwick, WK04</v>
      </c>
      <c r="C261" t="str">
        <v>Permit Revision</v>
      </c>
      <c r="D261" t="str">
        <v>Complete</v>
      </c>
      <c r="E261">
        <v>44888</v>
      </c>
      <c r="F261" t="str">
        <v>Solar PV System: 20 panels @ 435 W/panel; 21.4 sq ft/panel; Total sq ft 428; Total System Capacity 8.70 ; Total Annual Output 12.61 h</v>
      </c>
      <c r="G261">
        <v>8.7</v>
      </c>
      <c r="H261" t="str">
        <v>Residential Revision</v>
      </c>
      <c r="I261">
        <v>44861</v>
      </c>
      <c r="J261">
        <v>44897</v>
      </c>
      <c r="K261" t="str">
        <v>Warwick</v>
      </c>
      <c r="L261" t="str">
        <v/>
      </c>
      <c r="M261" t="str">
        <v/>
      </c>
      <c r="N261" t="str">
        <v/>
      </c>
      <c r="O261" t="str">
        <v>Yes</v>
      </c>
      <c r="P261">
        <v>32.26958</v>
      </c>
      <c r="Q261">
        <v>-64.813951</v>
      </c>
    </row>
    <row r="262" xml:space="preserve">
      <c r="A262" t="str">
        <v>B0492-22</v>
      </c>
      <c r="B262" t="str" xml:space="preserve">
        <v xml:space="preserve">82 South Road Unit: A_x000d__x000d_
Warwick, WK08</v>
      </c>
      <c r="C262" t="str">
        <v>Permitted Development</v>
      </c>
      <c r="D262" t="str">
        <v>Complete</v>
      </c>
      <c r="E262">
        <v>44893</v>
      </c>
      <c r="F262" t="str">
        <v>Roof Mounted Solar PV System - 236 sq ft, 12x365W Modules, System Capacity: 4.38</v>
      </c>
      <c r="G262">
        <v>4.38</v>
      </c>
      <c r="H262" t="str">
        <v>Residential</v>
      </c>
      <c r="I262">
        <v>44853</v>
      </c>
      <c r="J262">
        <v>45121</v>
      </c>
      <c r="K262" t="str">
        <v>Warwick</v>
      </c>
      <c r="L262">
        <v>46720</v>
      </c>
      <c r="M262">
        <v>45093</v>
      </c>
      <c r="N262" t="str">
        <v/>
      </c>
      <c r="O262" t="str">
        <v>Yes</v>
      </c>
      <c r="P262">
        <v>32.2689</v>
      </c>
      <c r="Q262">
        <v>-64.788678</v>
      </c>
    </row>
    <row r="263" xml:space="preserve">
      <c r="A263" t="str">
        <v>B0513-22</v>
      </c>
      <c r="B263" t="str" xml:space="preserve">
        <v xml:space="preserve">1 Two Way Mews_x000d__x000d_
Pembroke, HM17</v>
      </c>
      <c r="C263" t="str">
        <v>Permitted Development</v>
      </c>
      <c r="D263" t="str">
        <v>Complete</v>
      </c>
      <c r="E263">
        <v>44893</v>
      </c>
      <c r="F263" t="str">
        <v>Solar PV System: 5 Panels @ 435 w/Panel; 21.4 sq ft/Panel; Total Sq ft 107; Total System Capacity 2.17 ; Total Annual Output 3,154 h</v>
      </c>
      <c r="G263">
        <v>2.17</v>
      </c>
      <c r="H263" t="str">
        <v>Residential</v>
      </c>
      <c r="I263">
        <v>44868</v>
      </c>
      <c r="J263">
        <v>44950</v>
      </c>
      <c r="K263" t="str">
        <v>Pembroke</v>
      </c>
      <c r="L263">
        <v>46720</v>
      </c>
      <c r="M263">
        <v>44929</v>
      </c>
      <c r="N263" t="str">
        <v/>
      </c>
      <c r="O263" t="str">
        <v>Yes</v>
      </c>
      <c r="P263">
        <v>32.298826</v>
      </c>
      <c r="Q263">
        <v>-64.778847</v>
      </c>
    </row>
    <row r="264" xml:space="preserve">
      <c r="A264" t="str">
        <v>B0512-22</v>
      </c>
      <c r="B264" t="str" xml:space="preserve">
        <v xml:space="preserve">2 Old Slip Lane_x000d__x000d_
Pembroke, HM06</v>
      </c>
      <c r="C264" t="str">
        <v>Permitted Development</v>
      </c>
      <c r="D264" t="str">
        <v>Complete</v>
      </c>
      <c r="E264">
        <v>44893</v>
      </c>
      <c r="F264" t="str">
        <v>Roof Mounted Solar PV System - 118 sq ft, 6x365W Modules, System Capacity: 2.19</v>
      </c>
      <c r="G264">
        <v>2.19</v>
      </c>
      <c r="H264" t="str">
        <v>Residential</v>
      </c>
      <c r="I264">
        <v>44868</v>
      </c>
      <c r="J264">
        <v>45166</v>
      </c>
      <c r="K264" t="str">
        <v>Pembroke</v>
      </c>
      <c r="L264">
        <v>46720</v>
      </c>
      <c r="M264">
        <v>45155</v>
      </c>
      <c r="N264" t="str">
        <v/>
      </c>
      <c r="O264" t="str">
        <v>Yes</v>
      </c>
      <c r="P264">
        <v>32.292373</v>
      </c>
      <c r="Q264">
        <v>-64.795747</v>
      </c>
    </row>
    <row r="265" xml:space="preserve">
      <c r="A265" t="str">
        <v>B0486-22</v>
      </c>
      <c r="B265" t="str" xml:space="preserve">
        <v xml:space="preserve">28 Knapton Hill_x000d__x000d_
Smiths, FL08</v>
      </c>
      <c r="C265" t="str">
        <v>Permitted Development</v>
      </c>
      <c r="D265" t="str">
        <v>Complete</v>
      </c>
      <c r="E265">
        <v>44893</v>
      </c>
      <c r="F265" t="str">
        <v xml:space="preserve">Roof Mounted Solar PV System - 687 sq ft., 35x365W Modules, System Capacity: 12.775, Wall Mounted Battery System - 20 </v>
      </c>
      <c r="G265">
        <v>12.775</v>
      </c>
      <c r="H265" t="str">
        <v>Residential</v>
      </c>
      <c r="I265">
        <v>44851</v>
      </c>
      <c r="J265">
        <v>45106</v>
      </c>
      <c r="K265" t="str">
        <v>Smiths</v>
      </c>
      <c r="L265">
        <v>46720</v>
      </c>
      <c r="M265">
        <v>45103</v>
      </c>
      <c r="N265" t="str">
        <v/>
      </c>
      <c r="O265" t="str">
        <v>Yes</v>
      </c>
      <c r="P265">
        <v>32.315555</v>
      </c>
      <c r="Q265">
        <v>-64.721756</v>
      </c>
    </row>
    <row r="266" xml:space="preserve">
      <c r="A266" t="str">
        <v>B0534-22</v>
      </c>
      <c r="B266" t="str" xml:space="preserve">
        <v xml:space="preserve">12 Somers Hill Road_x000d__x000d_
Hamilton, FL04</v>
      </c>
      <c r="C266" t="str">
        <v>Permitted Development</v>
      </c>
      <c r="D266" t="str">
        <v>Complete</v>
      </c>
      <c r="E266">
        <v>44893</v>
      </c>
      <c r="F266" t="str">
        <v>Solar PV System: 8 panels @ 380 w/panel; 19.8 sq ft/panel; Total Sq ft 158.4; Total System Capacity 3.04 ; Total Annual Output 4,408 h</v>
      </c>
      <c r="G266">
        <v>3.04</v>
      </c>
      <c r="H266" t="str">
        <v>Residential</v>
      </c>
      <c r="I266">
        <v>44884</v>
      </c>
      <c r="J266">
        <v>45006</v>
      </c>
      <c r="K266" t="str">
        <v>Hamilton</v>
      </c>
      <c r="L266">
        <v>46720</v>
      </c>
      <c r="M266">
        <v>45006</v>
      </c>
      <c r="N266" t="str">
        <v/>
      </c>
      <c r="O266" t="str">
        <v>Yes</v>
      </c>
      <c r="P266">
        <v>32.328064</v>
      </c>
      <c r="Q266">
        <v>-64.739177</v>
      </c>
    </row>
    <row r="267" xml:space="preserve">
      <c r="A267" t="str">
        <v>B0489-22</v>
      </c>
      <c r="B267" t="str" xml:space="preserve">
        <v xml:space="preserve">12 Southcote Road_x000d__x000d_
Paget, PG04</v>
      </c>
      <c r="C267" t="str">
        <v>Permitted Development</v>
      </c>
      <c r="D267" t="str">
        <v>Complete</v>
      </c>
      <c r="E267">
        <v>44893</v>
      </c>
      <c r="F267" t="str">
        <v>Roof Mounted Solar PV System - 98 sq ft, 5x360W Modules, System Capacity: 1.8</v>
      </c>
      <c r="G267">
        <v>1.8</v>
      </c>
      <c r="H267" t="str">
        <v>Residential</v>
      </c>
      <c r="I267">
        <v>44852</v>
      </c>
      <c r="J267">
        <v>45100</v>
      </c>
      <c r="K267" t="str">
        <v>Paget</v>
      </c>
      <c r="L267">
        <v>46720</v>
      </c>
      <c r="M267">
        <v>45051</v>
      </c>
      <c r="N267" t="str">
        <v/>
      </c>
      <c r="O267" t="str">
        <v>Yes</v>
      </c>
      <c r="P267">
        <v>32.277112</v>
      </c>
      <c r="Q267">
        <v>-64.781423</v>
      </c>
    </row>
    <row r="268" xml:space="preserve">
      <c r="A268" t="str">
        <v>B0531-22</v>
      </c>
      <c r="B268" t="str" xml:space="preserve">
        <v xml:space="preserve">15 Beaming Hill_x000d__x000d_
Southampton, SN02</v>
      </c>
      <c r="C268" t="str">
        <v>Permitted Development</v>
      </c>
      <c r="D268" t="str">
        <v>Complete</v>
      </c>
      <c r="E268">
        <v>44893</v>
      </c>
      <c r="F268" t="str">
        <v>Solar PV System: 26 Panels @ 380 w/Panel; 19.8 sq ft/Panel; Total Sq ft 514.8; Total System Capacity 9.88 ; Total Annual Output 14,326 h; Tesla Powerwall: 1 Tesla Powerwall @ 13.5 /Powerwall; Total system capacity 13.5 ; 4.48 sq/ft; Total sq ft 4.48</v>
      </c>
      <c r="G268">
        <v>9.88</v>
      </c>
      <c r="H268" t="str">
        <v>Residential</v>
      </c>
      <c r="I268">
        <v>44882</v>
      </c>
      <c r="J268">
        <v>45028</v>
      </c>
      <c r="K268" t="str">
        <v>Southampton</v>
      </c>
      <c r="L268">
        <v>46720</v>
      </c>
      <c r="M268">
        <v>45015</v>
      </c>
      <c r="N268" t="str">
        <v/>
      </c>
      <c r="O268" t="str">
        <v>Yes</v>
      </c>
      <c r="P268">
        <v>32.250896</v>
      </c>
      <c r="Q268">
        <v>-64.83238</v>
      </c>
    </row>
    <row r="269" xml:space="preserve">
      <c r="A269" t="str">
        <v>B0027-22</v>
      </c>
      <c r="B269" t="str" xml:space="preserve">
        <v xml:space="preserve">37 Somerset Road_x000d__x000d_
Sandys, MA03</v>
      </c>
      <c r="C269" t="str">
        <v>Permitted Development</v>
      </c>
      <c r="D269" t="str">
        <v>Complete</v>
      </c>
      <c r="E269">
        <v>44894</v>
      </c>
      <c r="F269" t="str">
        <v xml:space="preserve">Proposed Solar Panels 29 @ 400W; 551 sq. ft. Total; 11.6  </v>
      </c>
      <c r="G269">
        <v>11.6</v>
      </c>
      <c r="H269" t="str">
        <v>Commercial</v>
      </c>
      <c r="I269">
        <v>44574</v>
      </c>
      <c r="J269">
        <v>45147</v>
      </c>
      <c r="K269" t="str">
        <v>Sandys</v>
      </c>
      <c r="L269">
        <v>46720</v>
      </c>
      <c r="M269">
        <v>45090</v>
      </c>
      <c r="N269" t="str">
        <v/>
      </c>
      <c r="O269" t="str">
        <v>Yes</v>
      </c>
      <c r="P269">
        <v>32.299632</v>
      </c>
      <c r="Q269">
        <v>-64.870749</v>
      </c>
    </row>
    <row r="270" xml:space="preserve">
      <c r="A270" t="str">
        <v>B0506-22</v>
      </c>
      <c r="B270" t="str" xml:space="preserve">
        <v xml:space="preserve">16 Tamarind Vale_x000d__x000d_
Warwick, WK05</v>
      </c>
      <c r="C270" t="str">
        <v>Permitted Development</v>
      </c>
      <c r="D270" t="str">
        <v>Complete</v>
      </c>
      <c r="E270">
        <v>44894</v>
      </c>
      <c r="F270" t="str">
        <v xml:space="preserve">Solar PV System: 11 Panels @ 435 w/Panel; 21.4 sq ft/Panel; Total Sq ft 235.4; Total System Capacity 4.78 ; Total Annual Output 6.94 </v>
      </c>
      <c r="G270">
        <v>4.78</v>
      </c>
      <c r="H270" t="str">
        <v>Residential</v>
      </c>
      <c r="I270">
        <v>44866</v>
      </c>
      <c r="J270">
        <v>44937</v>
      </c>
      <c r="K270" t="str">
        <v>Warwick</v>
      </c>
      <c r="L270">
        <v>46720</v>
      </c>
      <c r="M270">
        <v>44916</v>
      </c>
      <c r="N270" t="str">
        <v/>
      </c>
      <c r="O270" t="str">
        <v>Yes</v>
      </c>
      <c r="P270">
        <v>32.269127</v>
      </c>
      <c r="Q270">
        <v>-64.812874</v>
      </c>
    </row>
    <row r="271" xml:space="preserve">
      <c r="A271" t="str">
        <v>B0545-22</v>
      </c>
      <c r="B271" t="str" xml:space="preserve">
        <v xml:space="preserve">5 Oceanside Road_x000d__x000d_
Southampton, SB04</v>
      </c>
      <c r="C271" t="str">
        <v>Permitted Development</v>
      </c>
      <c r="D271" t="str">
        <v>Complete</v>
      </c>
      <c r="E271">
        <v>44901</v>
      </c>
      <c r="F271" t="str">
        <v>Roof Top Solar, 17 - 345W PV Modules, (5.87 ), Annual Production 8,003 h, Total Area 342 Square Feet.</v>
      </c>
      <c r="G271">
        <v>5.87</v>
      </c>
      <c r="H271" t="str">
        <v>Residential</v>
      </c>
      <c r="I271">
        <v>44893</v>
      </c>
      <c r="J271">
        <v>44950</v>
      </c>
      <c r="K271" t="str">
        <v>Southampton</v>
      </c>
      <c r="L271">
        <v>46727</v>
      </c>
      <c r="M271">
        <v>44938</v>
      </c>
      <c r="N271" t="str">
        <v/>
      </c>
      <c r="O271" t="str">
        <v>Yes</v>
      </c>
      <c r="P271">
        <v>32.251013</v>
      </c>
      <c r="Q271">
        <v>-64.865177</v>
      </c>
    </row>
    <row r="272" xml:space="preserve">
      <c r="A272" t="str">
        <v>B0026-22</v>
      </c>
      <c r="B272" t="str" xml:space="preserve">
        <v xml:space="preserve">66 Middle Road_x000d__x000d_
Warwick, WK03</v>
      </c>
      <c r="C272" t="str">
        <v>Permitted Development</v>
      </c>
      <c r="D272" t="str">
        <v>Complete</v>
      </c>
      <c r="E272">
        <v>44908</v>
      </c>
      <c r="F272" t="str">
        <v>Proposed Solar Panels (48 total) 912 sq. ft. 19 sq. ft. per Panel, 400W per panel; 19.2 Total System Capacity</v>
      </c>
      <c r="G272">
        <v>19.2</v>
      </c>
      <c r="H272" t="str">
        <v>Commercial</v>
      </c>
      <c r="I272">
        <v>44574</v>
      </c>
      <c r="J272">
        <v>45232</v>
      </c>
      <c r="K272" t="str">
        <v>Warwick</v>
      </c>
      <c r="L272">
        <v>46734</v>
      </c>
      <c r="M272">
        <v>45090</v>
      </c>
      <c r="N272" t="str">
        <v/>
      </c>
      <c r="O272" t="str">
        <v>Yes</v>
      </c>
      <c r="P272">
        <v>32.266766</v>
      </c>
      <c r="Q272">
        <v>-64.8088</v>
      </c>
    </row>
    <row r="273" xml:space="preserve">
      <c r="A273" t="str">
        <v>B0567-22</v>
      </c>
      <c r="B273" t="str" xml:space="preserve">
        <v xml:space="preserve">1 Undina Watch_x000d__x000d_
Southampton, SN02</v>
      </c>
      <c r="C273" t="str">
        <v>Permitted Development</v>
      </c>
      <c r="D273" t="str">
        <v>Complete</v>
      </c>
      <c r="E273">
        <v>44916</v>
      </c>
      <c r="F273" t="str">
        <v>Roof Mounted Solar PV System - 452 sq ft, 23x365W Modules, System Capacity: 8.395</v>
      </c>
      <c r="G273">
        <v>8.395</v>
      </c>
      <c r="H273" t="str">
        <v>Residential</v>
      </c>
      <c r="I273">
        <v>44909</v>
      </c>
      <c r="J273">
        <v>45114</v>
      </c>
      <c r="K273" t="str">
        <v>Southampton</v>
      </c>
      <c r="L273">
        <v>46742</v>
      </c>
      <c r="M273">
        <v>45112</v>
      </c>
      <c r="N273" t="str">
        <v/>
      </c>
      <c r="O273" t="str">
        <v>Yes</v>
      </c>
      <c r="P273">
        <v>32.2537229</v>
      </c>
      <c r="Q273">
        <v>-64.8351824</v>
      </c>
    </row>
    <row r="274" xml:space="preserve">
      <c r="A274" t="str">
        <v>B0549-22</v>
      </c>
      <c r="B274" t="str" xml:space="preserve">
        <v xml:space="preserve">9 Middle Road_x000d__x000d_
Warwick, WK04</v>
      </c>
      <c r="C274" t="str">
        <v>Permitted Development</v>
      </c>
      <c r="D274" t="str">
        <v>Complete</v>
      </c>
      <c r="E274">
        <v>44916</v>
      </c>
      <c r="F274" t="str" xml:space="preserve">
        <v xml:space="preserve">Solar PV System: Additional 12 panels added to existing PV System @ 380 W/panel; 19.8 sq ft/panel; Total (added) sq ft 237.6; Total (added) system capacity 4.56 ; Total (added) annual output 6,612 h_x000d__x000d_
Total system: 687 sq ft; Total system capacity 13.69; Total annual output 26,469 h</v>
      </c>
      <c r="G274">
        <v>13.69</v>
      </c>
      <c r="H274" t="str">
        <v>Residential</v>
      </c>
      <c r="I274">
        <v>44896</v>
      </c>
      <c r="J274">
        <v>45033</v>
      </c>
      <c r="K274" t="str">
        <v>Warwick</v>
      </c>
      <c r="L274">
        <v>46742</v>
      </c>
      <c r="M274">
        <v>44991</v>
      </c>
      <c r="N274" t="str">
        <v/>
      </c>
      <c r="O274" t="str">
        <v>Yes</v>
      </c>
      <c r="P274">
        <v>32.263627</v>
      </c>
      <c r="Q274">
        <v>-64.818196</v>
      </c>
    </row>
    <row r="275" xml:space="preserve">
      <c r="A275" t="str">
        <v>B0488-22</v>
      </c>
      <c r="B275" t="str" xml:space="preserve">
        <v xml:space="preserve">25 Peace Haven Drive_x000d__x000d_
Sandys, SB02</v>
      </c>
      <c r="C275" t="str">
        <v>Permitted Development</v>
      </c>
      <c r="D275" t="str">
        <v>Complete</v>
      </c>
      <c r="E275">
        <v>44916</v>
      </c>
      <c r="F275" t="str">
        <v>Roof Mounted Solar PV System - 471 sq ft., 24x365W Modules, System Capacity: 8.76 - Renovation to Existing Storage Shed to Create Entertainment / Guest Cottage, New Pickle Ball Court, New Ramp and Davit at Existing Concrete Dock and New Cesspit and Soakaway Pit. Building revision only for works approved under P0112-23: *Revised: Ramp and dock works have been abandoned.</v>
      </c>
      <c r="G275">
        <v>8.76</v>
      </c>
      <c r="H275" t="str">
        <v>Residential</v>
      </c>
      <c r="I275">
        <v>44852</v>
      </c>
      <c r="J275">
        <v>45594</v>
      </c>
      <c r="K275" t="str">
        <v>Sandys</v>
      </c>
      <c r="L275">
        <v>46742</v>
      </c>
      <c r="M275">
        <v>45593</v>
      </c>
      <c r="N275" t="str">
        <v/>
      </c>
      <c r="O275" t="str">
        <v>Yes</v>
      </c>
      <c r="P275">
        <v>32.275104</v>
      </c>
      <c r="Q275">
        <v>-64.873684</v>
      </c>
    </row>
    <row r="276" xml:space="preserve">
      <c r="A276" t="str">
        <v>B0396-22</v>
      </c>
      <c r="B276" t="str" xml:space="preserve">
        <v xml:space="preserve">62 Ord Road_x000d__x000d_
Paget, PG03</v>
      </c>
      <c r="C276" t="str">
        <v>Permitted Development</v>
      </c>
      <c r="D276" t="str">
        <v>Complete</v>
      </c>
      <c r="E276">
        <v>44916</v>
      </c>
      <c r="F276" t="str">
        <v>Roof Mounted Solar PV System - 254 sq ft, 13x360W Modules, System Capacity: 4.68</v>
      </c>
      <c r="G276">
        <v>4.68</v>
      </c>
      <c r="H276" t="str">
        <v>Residential</v>
      </c>
      <c r="I276">
        <v>44783</v>
      </c>
      <c r="J276">
        <v>44980</v>
      </c>
      <c r="K276" t="str">
        <v>Paget</v>
      </c>
      <c r="L276">
        <v>46742</v>
      </c>
      <c r="M276">
        <v>44972</v>
      </c>
      <c r="N276" t="str">
        <v/>
      </c>
      <c r="O276" t="str">
        <v>Yes</v>
      </c>
      <c r="P276">
        <v>32.279288</v>
      </c>
      <c r="Q276">
        <v>-64.781306</v>
      </c>
    </row>
    <row r="277" xml:space="preserve">
      <c r="A277" t="str">
        <v>B0491-22</v>
      </c>
      <c r="B277" t="str" xml:space="preserve">
        <v xml:space="preserve">16 Riddell's Bay Road_x000d__x000d_
Warwick, WK04</v>
      </c>
      <c r="C277" t="str">
        <v>Permitted Development</v>
      </c>
      <c r="D277" t="str">
        <v>Complete</v>
      </c>
      <c r="E277">
        <v>44916</v>
      </c>
      <c r="F277" t="str">
        <v xml:space="preserve">Roof Mounted Solar PV System - 176 sq ft, 9x360W Modules, System Capacity: 3.24 </v>
      </c>
      <c r="G277">
        <v>3.24</v>
      </c>
      <c r="H277" t="str">
        <v>Residential</v>
      </c>
      <c r="I277">
        <v>44853</v>
      </c>
      <c r="J277">
        <v>45457</v>
      </c>
      <c r="K277" t="str">
        <v>Warwick</v>
      </c>
      <c r="L277">
        <v>46742</v>
      </c>
      <c r="M277">
        <v>45140</v>
      </c>
      <c r="N277" t="str">
        <v/>
      </c>
      <c r="O277" t="str">
        <v>Yes</v>
      </c>
      <c r="P277">
        <v>32.263842</v>
      </c>
      <c r="Q277">
        <v>-64.821897</v>
      </c>
    </row>
    <row r="278" xml:space="preserve">
      <c r="A278" t="str">
        <v>BC0129-22</v>
      </c>
      <c r="B278" t="str" xml:space="preserve">
        <v xml:space="preserve">65 The Glebe Road_x000d__x000d_
Pembroke, HM14</v>
      </c>
      <c r="C278" t="str">
        <v>Building - Commercial</v>
      </c>
      <c r="D278" t="str">
        <v>Complete</v>
      </c>
      <c r="E278">
        <v>44916</v>
      </c>
      <c r="F278" t="str" xml:space="preserve">
        <v xml:space="preserve">Proposed Roof Mounted Solar PV System. 370 watt panels x 16. 301.12 Total Sqft. Coverage. 5.92 system._x000d__x000d_
*Revision* (1) Add five 340w Modules. Total Added wattage, 1.7 Module area 18.25sf. Total area 91.25sf_x000d__x000d_
Total System: 9x 340w module, 12x 370w module, Total System Power: 7.5_x000d__x000d_
21 modules @ 18.82sf, Total, 395.22sf</v>
      </c>
      <c r="G278">
        <v>7.62</v>
      </c>
      <c r="H278" t="str">
        <v>Building Commercial</v>
      </c>
      <c r="I278">
        <v>44872</v>
      </c>
      <c r="J278">
        <v>45008</v>
      </c>
      <c r="K278" t="str">
        <v>Pembroke</v>
      </c>
      <c r="L278">
        <v>46742</v>
      </c>
      <c r="M278">
        <v>44993</v>
      </c>
      <c r="N278" t="str">
        <v/>
      </c>
      <c r="O278" t="str">
        <v>Yes</v>
      </c>
      <c r="P278">
        <v>32.305787</v>
      </c>
      <c r="Q278">
        <v>-64.776371</v>
      </c>
    </row>
    <row r="279" xml:space="preserve">
      <c r="A279" t="str">
        <v>B0557-22</v>
      </c>
      <c r="B279" t="str" xml:space="preserve">
        <v xml:space="preserve">6 Idle Acres Road_x000d__x000d_
Smiths, FL06</v>
      </c>
      <c r="C279" t="str">
        <v>Permitted Development</v>
      </c>
      <c r="D279" t="str">
        <v>Complete</v>
      </c>
      <c r="E279">
        <v>44916</v>
      </c>
      <c r="F279" t="str">
        <v>Roof Top Solar, 20 - 345W PV Modules, (6.9 ), Annual Production 9,652 h, Total Area 403 Square Feet.</v>
      </c>
      <c r="G279">
        <v>6.9</v>
      </c>
      <c r="H279" t="str">
        <v>Residential</v>
      </c>
      <c r="I279">
        <v>44900</v>
      </c>
      <c r="J279">
        <v>44964</v>
      </c>
      <c r="K279" t="str">
        <v>Smiths</v>
      </c>
      <c r="L279">
        <v>46742</v>
      </c>
      <c r="M279">
        <v>44963</v>
      </c>
      <c r="N279" t="str">
        <v/>
      </c>
      <c r="O279" t="str">
        <v>Yes</v>
      </c>
      <c r="P279">
        <v>32.314736</v>
      </c>
      <c r="Q279">
        <v>-64.72709</v>
      </c>
    </row>
    <row r="280" xml:space="preserve">
      <c r="A280" t="str">
        <v>B0482-22</v>
      </c>
      <c r="B280" t="str" xml:space="preserve">
        <v xml:space="preserve">14 Riddell's Bay Road_x000d__x000d_
Warwick, WK04</v>
      </c>
      <c r="C280" t="str">
        <v>Permitted Development</v>
      </c>
      <c r="D280" t="str">
        <v>Complete</v>
      </c>
      <c r="E280">
        <v>44930</v>
      </c>
      <c r="F280" t="str">
        <v xml:space="preserve">Roof Mounted Solar PV System - 429 sq ft, 22x360W Modules, System Capacity: 7.92 , Wall Mounted Battery System - 10 </v>
      </c>
      <c r="G280">
        <v>7.92</v>
      </c>
      <c r="H280" t="str">
        <v>Residential</v>
      </c>
      <c r="I280">
        <v>44847</v>
      </c>
      <c r="J280">
        <v>45104</v>
      </c>
      <c r="K280" t="str">
        <v>Warwick</v>
      </c>
      <c r="L280">
        <v>46756</v>
      </c>
      <c r="M280">
        <v>45093</v>
      </c>
      <c r="N280" t="str">
        <v/>
      </c>
      <c r="O280" t="str">
        <v>Yes</v>
      </c>
      <c r="P280">
        <v>32.263703</v>
      </c>
      <c r="Q280">
        <v>-64.820292</v>
      </c>
    </row>
    <row r="281" xml:space="preserve">
      <c r="A281" t="str">
        <v>B0366-22</v>
      </c>
      <c r="B281" t="str" xml:space="preserve">
        <v xml:space="preserve">19 Harrington Hundreds Road_x000d__x000d_
Smiths, FL08</v>
      </c>
      <c r="C281" t="str">
        <v>Permitted Development</v>
      </c>
      <c r="D281" t="str">
        <v>Complete</v>
      </c>
      <c r="E281">
        <v>44938</v>
      </c>
      <c r="F281" t="str">
        <v>Roof Mounted Solar PV System - 351 sq ft, 18 x 360W Modules, System Capacity: 6.48</v>
      </c>
      <c r="G281">
        <v>6.48</v>
      </c>
      <c r="H281" t="str">
        <v>Residential</v>
      </c>
      <c r="I281">
        <v>44763</v>
      </c>
      <c r="J281">
        <v>45062</v>
      </c>
      <c r="K281" t="str">
        <v>Smiths</v>
      </c>
      <c r="L281">
        <v>46764</v>
      </c>
      <c r="M281">
        <v>44972</v>
      </c>
      <c r="N281" t="str">
        <v/>
      </c>
      <c r="O281" t="str">
        <v>Yes</v>
      </c>
      <c r="P281">
        <v>32.318016</v>
      </c>
      <c r="Q281">
        <v>-64.724186</v>
      </c>
    </row>
    <row r="282" xml:space="preserve">
      <c r="A282" t="str">
        <v>B0364-22</v>
      </c>
      <c r="B282" t="str" xml:space="preserve">
        <v xml:space="preserve">15 Rocky Ridge Road_x000d__x000d_
Smiths, HS02</v>
      </c>
      <c r="C282" t="str">
        <v>Permitted Development</v>
      </c>
      <c r="D282" t="str">
        <v>Complete</v>
      </c>
      <c r="E282">
        <v>44938</v>
      </c>
      <c r="F282" t="str">
        <v>Roof Mounted Solar PV System - 393 sq ft, 20 Panels, 365W Modules, System Capacity: 7.3</v>
      </c>
      <c r="G282">
        <v>7.3</v>
      </c>
      <c r="H282" t="str">
        <v>Residential</v>
      </c>
      <c r="I282">
        <v>44763</v>
      </c>
      <c r="J282">
        <v>45033</v>
      </c>
      <c r="K282" t="str">
        <v>Smiths</v>
      </c>
      <c r="L282">
        <v>46764</v>
      </c>
      <c r="M282">
        <v>45033</v>
      </c>
      <c r="N282" t="str">
        <v/>
      </c>
      <c r="O282" t="str">
        <v>Yes</v>
      </c>
      <c r="P282">
        <v>32.326712</v>
      </c>
      <c r="Q282">
        <v>-64.715055</v>
      </c>
    </row>
    <row r="283" xml:space="preserve">
      <c r="A283" t="str">
        <v>B0581-22</v>
      </c>
      <c r="B283" t="str" xml:space="preserve">
        <v xml:space="preserve">44 West Side Road_x000d__x000d_
Sandys, MA04</v>
      </c>
      <c r="C283" t="str">
        <v>Permitted Development</v>
      </c>
      <c r="D283" t="str">
        <v>Complete</v>
      </c>
      <c r="E283">
        <v>44944</v>
      </c>
      <c r="F283" t="str">
        <v xml:space="preserve">Solar PV System: 12 panels @ 380 W/panel; 19.8 sq ft/panel; Total sq ft 237.6; Total System Capacity 4.56 ; Total Annual Output 6,612 </v>
      </c>
      <c r="G283">
        <v>4.56</v>
      </c>
      <c r="H283" t="str">
        <v>Residential</v>
      </c>
      <c r="I283">
        <v>44917</v>
      </c>
      <c r="J283">
        <v>45211</v>
      </c>
      <c r="K283" t="str">
        <v>Sandys</v>
      </c>
      <c r="L283">
        <v>46770</v>
      </c>
      <c r="M283">
        <v>45188</v>
      </c>
      <c r="N283" t="str">
        <v/>
      </c>
      <c r="O283" t="str">
        <v>Yes</v>
      </c>
      <c r="P283">
        <v>32.296346</v>
      </c>
      <c r="Q283">
        <v>-64.87516</v>
      </c>
    </row>
    <row r="284" xml:space="preserve">
      <c r="A284" t="str">
        <v>BR0237-22</v>
      </c>
      <c r="B284" t="str" xml:space="preserve">
        <v xml:space="preserve">1 Governors Alley_x000d__x000d_
Town of St. George, GE05</v>
      </c>
      <c r="C284" t="str">
        <v>Building - Residential</v>
      </c>
      <c r="D284" t="str">
        <v>Complete</v>
      </c>
      <c r="E284">
        <v>44945</v>
      </c>
      <c r="F284" t="str">
        <v>Solar PV System: 15 Panels @ 435w /panel; 20.21 Sq Ft /panel: Total Sq Ft 303.15; Total System Capacity 6.52; Total Annual Output 9,135 h</v>
      </c>
      <c r="G284">
        <v>6.52</v>
      </c>
      <c r="H284" t="str">
        <v>Building Residential</v>
      </c>
      <c r="I284">
        <v>44860</v>
      </c>
      <c r="J284">
        <v>44984</v>
      </c>
      <c r="K284" t="str">
        <v>Town of St. George</v>
      </c>
      <c r="L284">
        <v>46771</v>
      </c>
      <c r="M284">
        <v>44980</v>
      </c>
      <c r="N284" t="str">
        <v/>
      </c>
      <c r="O284" t="str">
        <v>Yes</v>
      </c>
      <c r="P284">
        <v>32.382913</v>
      </c>
      <c r="Q284">
        <v>-64.6770893</v>
      </c>
    </row>
    <row r="285" xml:space="preserve">
      <c r="A285" t="str">
        <v>BC0108-22</v>
      </c>
      <c r="B285" t="str" xml:space="preserve">
        <v xml:space="preserve">26 Palmetto Road_x000d__x000d_
Devonshire, DV05</v>
      </c>
      <c r="C285" t="str">
        <v>Building - Commercial</v>
      </c>
      <c r="D285" t="str">
        <v>Complete</v>
      </c>
      <c r="E285">
        <v>44945</v>
      </c>
      <c r="F285" t="str">
        <v>Proposed Installation of PV Solar Panels on Roof (1,108 Panels x 400 Watts / Total Capacity - 443.2) on 21,094.65 sf. *Revision 1:Revised electrical drawings.</v>
      </c>
      <c r="G285">
        <v>443.2</v>
      </c>
      <c r="H285" t="str">
        <v>Building Commercial</v>
      </c>
      <c r="I285">
        <v>44818</v>
      </c>
      <c r="J285">
        <v>45609</v>
      </c>
      <c r="K285" t="str">
        <v>Devonshire</v>
      </c>
      <c r="L285">
        <v>46771</v>
      </c>
      <c r="M285">
        <v>45581</v>
      </c>
      <c r="N285" t="str">
        <v/>
      </c>
      <c r="O285" t="str">
        <v>Yes</v>
      </c>
      <c r="P285">
        <v>32.308132</v>
      </c>
      <c r="Q285">
        <v>-64.763581</v>
      </c>
    </row>
    <row r="286" xml:space="preserve">
      <c r="A286" t="str">
        <v>BC0118-22</v>
      </c>
      <c r="B286" t="str" xml:space="preserve">
        <v xml:space="preserve">34 College Road_x000d__x000d_
Paget, PG04</v>
      </c>
      <c r="C286" t="str">
        <v>Building - Commercial</v>
      </c>
      <c r="D286" t="str">
        <v>Complete</v>
      </c>
      <c r="E286">
        <v>44945</v>
      </c>
      <c r="F286" t="str">
        <v>Two (2) Roof Mounted Solar PV Systems - 6637sqt Total System Capacities: 123.98, West Hall System - 105 x 400W Modules System Capacity: 42. Hallett Hall and Career Center System - 40x360W modules &amp; 141x400W Modules &amp; 26x430W Modules System Capacity: 81.98.</v>
      </c>
      <c r="G286">
        <v>123.98</v>
      </c>
      <c r="H286" t="str">
        <v>Building Commercial</v>
      </c>
      <c r="I286">
        <v>44841</v>
      </c>
      <c r="J286">
        <v>45021</v>
      </c>
      <c r="K286" t="str">
        <v>Paget</v>
      </c>
      <c r="L286">
        <v>46771</v>
      </c>
      <c r="M286">
        <v>45021</v>
      </c>
      <c r="N286" t="str">
        <v/>
      </c>
      <c r="O286" t="str">
        <v>Yes</v>
      </c>
      <c r="P286">
        <v>32.277493</v>
      </c>
      <c r="Q286">
        <v>-64.774458</v>
      </c>
    </row>
    <row r="287" xml:space="preserve">
      <c r="A287" t="str">
        <v>B0016-23</v>
      </c>
      <c r="B287" t="str" xml:space="preserve">
        <v xml:space="preserve">8 Lolly's Lane_x000d__x000d_
Smiths, BM FL07</v>
      </c>
      <c r="C287" t="str">
        <v>Permitted Development</v>
      </c>
      <c r="D287" t="str">
        <v>Complete</v>
      </c>
      <c r="E287">
        <v>44952</v>
      </c>
      <c r="F287" t="str" xml:space="preserve">
        <v xml:space="preserve">Solar PV System: 13 panels @ 380 W/panel; 19.8 sq ft/panel; Total sq ft 257.4; Total system capacity 4.94 ; Total annual output 7,163 h._x000d__x000d_
*Revision* (1) Solar PV System: 13 panels @ 380 W/panel; 19.8 sq ft/panel; Total sq ft 257.4; Total system capacity 4.94 ; Total annual output 7,163 h_x000d__x000d_
*Revision* (1) Solar PV System: 6 panels @ 380 W/panel; 19.8 sq ft/panel; Total sq ft 118.8; Total System Capacity 2.28 ; Total Annual Output 3,306</v>
      </c>
      <c r="G287">
        <v>2.28</v>
      </c>
      <c r="H287" t="str">
        <v>Residential</v>
      </c>
      <c r="I287">
        <v>44937</v>
      </c>
      <c r="J287">
        <v>45065</v>
      </c>
      <c r="K287" t="str">
        <v>Smiths</v>
      </c>
      <c r="L287">
        <v>46778</v>
      </c>
      <c r="M287">
        <v>45005</v>
      </c>
      <c r="N287" t="str">
        <v/>
      </c>
      <c r="O287" t="str">
        <v>Yes</v>
      </c>
      <c r="P287">
        <v>32.320695</v>
      </c>
      <c r="Q287">
        <v>-64.728839</v>
      </c>
    </row>
    <row r="288" xml:space="preserve">
      <c r="A288" t="str">
        <v>BC0002-23</v>
      </c>
      <c r="B288" t="str" xml:space="preserve">
        <v xml:space="preserve">2 Ferry Road_x000d__x000d_
St. George's, BM GE01</v>
      </c>
      <c r="C288" t="str">
        <v>Building - Commercial</v>
      </c>
      <c r="D288" t="str">
        <v>Complete</v>
      </c>
      <c r="E288">
        <v>44963</v>
      </c>
      <c r="F288" t="str">
        <v>Proposed Roof Mounted Solar System - 122 modules @490W/panel, 3,081.72 sq. ft.,  Total output 59.78; Annual production 58,683 h.</v>
      </c>
      <c r="G288">
        <v>59.78</v>
      </c>
      <c r="H288" t="str">
        <v>Building Commercial</v>
      </c>
      <c r="I288">
        <v>44935</v>
      </c>
      <c r="J288">
        <v>45135</v>
      </c>
      <c r="K288" t="str">
        <v>St. George</v>
      </c>
      <c r="L288">
        <v>46790</v>
      </c>
      <c r="M288">
        <v>45111</v>
      </c>
      <c r="N288" t="str">
        <v/>
      </c>
      <c r="O288" t="str">
        <v>Yes</v>
      </c>
      <c r="P288">
        <v>32.374781</v>
      </c>
      <c r="Q288">
        <v>-64.696942</v>
      </c>
    </row>
    <row r="289" xml:space="preserve">
      <c r="A289" t="str">
        <v>B0013-23</v>
      </c>
      <c r="B289" t="str" xml:space="preserve">
        <v xml:space="preserve">16 Fairways Road_x000d__x000d_
Warwick, BM WK04</v>
      </c>
      <c r="C289" t="str">
        <v>Permitted Development</v>
      </c>
      <c r="D289" t="str">
        <v>Complete</v>
      </c>
      <c r="E289">
        <v>44963</v>
      </c>
      <c r="F289" t="str">
        <v>Roof Mounted Solar PV System - 859sqft, 23x430W Modules, 17x360W Modules, System Capacity: 16.01, Wall Mounted Battery System - 40h</v>
      </c>
      <c r="G289">
        <v>16.01</v>
      </c>
      <c r="H289" t="str">
        <v>Residential</v>
      </c>
      <c r="I289">
        <v>44936</v>
      </c>
      <c r="J289">
        <v>45154</v>
      </c>
      <c r="K289" t="str">
        <v>Warwick</v>
      </c>
      <c r="L289">
        <v>46790</v>
      </c>
      <c r="M289">
        <v>45131</v>
      </c>
      <c r="N289" t="str">
        <v/>
      </c>
      <c r="O289" t="str">
        <v>Yes</v>
      </c>
      <c r="P289">
        <v>32.262642</v>
      </c>
      <c r="Q289">
        <v>-64.830564</v>
      </c>
    </row>
    <row r="290" xml:space="preserve">
      <c r="A290" t="str">
        <v>BREV0002-23</v>
      </c>
      <c r="B290" t="str" xml:space="preserve">
        <v xml:space="preserve">62 Ord Road_x000d__x000d_
Paget, PG03</v>
      </c>
      <c r="C290" t="str">
        <v>Permit Revision</v>
      </c>
      <c r="D290" t="str">
        <v>Complete</v>
      </c>
      <c r="E290">
        <v>44963</v>
      </c>
      <c r="F290" t="str">
        <v xml:space="preserve">Solar PV System: 13 panels @ 360 W/panel; Total Area 254 sq ft; Total System Capacity 4.68 </v>
      </c>
      <c r="G290">
        <v>4.68</v>
      </c>
      <c r="H290" t="str">
        <v>Residential Revision</v>
      </c>
      <c r="I290">
        <v>44929</v>
      </c>
      <c r="J290">
        <v>44963</v>
      </c>
      <c r="K290" t="str">
        <v>Paget</v>
      </c>
      <c r="L290" t="str">
        <v/>
      </c>
      <c r="M290" t="str">
        <v/>
      </c>
      <c r="N290" t="str">
        <v/>
      </c>
      <c r="O290" t="str">
        <v>Yes</v>
      </c>
      <c r="P290">
        <v>32.279288</v>
      </c>
      <c r="Q290">
        <v>-64.781306</v>
      </c>
    </row>
    <row r="291" xml:space="preserve">
      <c r="A291" t="str">
        <v>B0006-23</v>
      </c>
      <c r="B291" t="str" xml:space="preserve">
        <v xml:space="preserve">6 Point Shares Road_x000d__x000d_
Pembroke, HM05</v>
      </c>
      <c r="C291" t="str">
        <v>Permitted Development</v>
      </c>
      <c r="D291" t="str">
        <v>Complete</v>
      </c>
      <c r="E291">
        <v>44963</v>
      </c>
      <c r="F291" t="str">
        <v>Proposed Ground Mounted PV System 9.12, 24 Panel, 514 sq. ft. and Installation of 2 Tesla Power Walls.</v>
      </c>
      <c r="G291">
        <v>9.12</v>
      </c>
      <c r="H291" t="str">
        <v>Residential</v>
      </c>
      <c r="I291">
        <v>44931</v>
      </c>
      <c r="J291">
        <v>45265</v>
      </c>
      <c r="K291" t="str">
        <v>Pembroke</v>
      </c>
      <c r="L291">
        <v>46790</v>
      </c>
      <c r="M291">
        <v>45261</v>
      </c>
      <c r="N291" t="str">
        <v/>
      </c>
      <c r="O291" t="str">
        <v>Yes</v>
      </c>
      <c r="P291">
        <v>32.2953502</v>
      </c>
      <c r="Q291">
        <v>-64.8027044</v>
      </c>
    </row>
    <row r="292" xml:space="preserve">
      <c r="A292" t="str">
        <v>B0033-23</v>
      </c>
      <c r="B292" t="str" xml:space="preserve">
        <v xml:space="preserve">54 Mill Shares Road_x000d__x000d_
Pembroke, BM HM05</v>
      </c>
      <c r="C292" t="str">
        <v>Permitted Development</v>
      </c>
      <c r="D292" t="str">
        <v>Complete</v>
      </c>
      <c r="E292">
        <v>44963</v>
      </c>
      <c r="F292" t="str">
        <v>Solar PV System: 47 panels @ 380/panel; 19.8 sq ft; Total sq ft 930.6; Total System Capacity 17.86 ; Total annual output 25,897 h</v>
      </c>
      <c r="G292">
        <v>17.86</v>
      </c>
      <c r="H292" t="str">
        <v>Residential</v>
      </c>
      <c r="I292">
        <v>44944</v>
      </c>
      <c r="J292">
        <v>45041</v>
      </c>
      <c r="K292" t="str">
        <v>Pembroke</v>
      </c>
      <c r="L292">
        <v>46790</v>
      </c>
      <c r="M292">
        <v>45040</v>
      </c>
      <c r="N292" t="str">
        <v/>
      </c>
      <c r="O292" t="str">
        <v>Yes</v>
      </c>
      <c r="P292">
        <v>32.29799</v>
      </c>
      <c r="Q292">
        <v>-64.806348</v>
      </c>
    </row>
    <row r="293" xml:space="preserve">
      <c r="A293" t="str">
        <v>B0004-23</v>
      </c>
      <c r="B293" t="str" xml:space="preserve">
        <v xml:space="preserve">2 South Road_x000d__x000d_
St. George's, HS02</v>
      </c>
      <c r="C293" t="str">
        <v>Permitted Development</v>
      </c>
      <c r="D293" t="str">
        <v>Complete</v>
      </c>
      <c r="E293">
        <v>44963</v>
      </c>
      <c r="F293" t="str">
        <v xml:space="preserve">Roof Mounted Solar PV System - 312 sq ft, 16x360W Modules, System Capacity: 5.76 </v>
      </c>
      <c r="G293">
        <v>5.76</v>
      </c>
      <c r="H293" t="str">
        <v>Residential</v>
      </c>
      <c r="I293">
        <v>44929</v>
      </c>
      <c r="J293">
        <v>45138</v>
      </c>
      <c r="K293" t="str">
        <v>Bermuda</v>
      </c>
      <c r="L293">
        <v>46790</v>
      </c>
      <c r="M293">
        <v>45114</v>
      </c>
      <c r="N293" t="str">
        <v/>
      </c>
      <c r="O293" t="str">
        <v>Yes</v>
      </c>
      <c r="P293">
        <v>32.331277</v>
      </c>
      <c r="Q293">
        <v>-64.6996152</v>
      </c>
    </row>
    <row r="294" xml:space="preserve">
      <c r="A294" t="str">
        <v>B0002-23</v>
      </c>
      <c r="B294" t="str" xml:space="preserve">
        <v xml:space="preserve">4 Hilton Drive_x000d__x000d_
Paget, PG04</v>
      </c>
      <c r="C294" t="str">
        <v>Permitted Development</v>
      </c>
      <c r="D294" t="str">
        <v>Complete</v>
      </c>
      <c r="E294">
        <v>44963</v>
      </c>
      <c r="F294" t="str">
        <v xml:space="preserve">Roof Mounted Solar PV System - 293 sq ft, 15x360W Modules, System Capacity: 5.4 </v>
      </c>
      <c r="G294">
        <v>5.4</v>
      </c>
      <c r="H294" t="str">
        <v>Residential</v>
      </c>
      <c r="I294">
        <v>44929</v>
      </c>
      <c r="J294">
        <v>45098</v>
      </c>
      <c r="K294" t="str">
        <v>Paget</v>
      </c>
      <c r="L294">
        <v>46790</v>
      </c>
      <c r="M294">
        <v>45092</v>
      </c>
      <c r="N294" t="str">
        <v/>
      </c>
      <c r="O294" t="str">
        <v>Yes</v>
      </c>
      <c r="P294">
        <v>32.276478</v>
      </c>
      <c r="Q294">
        <v>-64.782386</v>
      </c>
    </row>
    <row r="295" xml:space="preserve">
      <c r="A295" t="str">
        <v>B0011-23</v>
      </c>
      <c r="B295" t="str" xml:space="preserve">
        <v xml:space="preserve">80 North Shore Road Unit: A_x000d__x000d_
Pembroke, BM HM13</v>
      </c>
      <c r="C295" t="str">
        <v>Permitted Development</v>
      </c>
      <c r="D295" t="str">
        <v>Complete</v>
      </c>
      <c r="E295">
        <v>44967</v>
      </c>
      <c r="F295" t="str">
        <v>Proposed Roof Mounted Solar Panels 24 Panels in Total. 24 Panels, 456 sq ft Total.  9.6 Total.(400w Per Panel, 19 sq ft Per Panel.)</v>
      </c>
      <c r="G295">
        <v>9.6</v>
      </c>
      <c r="H295" t="str">
        <v>Residential</v>
      </c>
      <c r="I295">
        <v>44935</v>
      </c>
      <c r="J295">
        <v>45162</v>
      </c>
      <c r="K295" t="str">
        <v>Pembroke</v>
      </c>
      <c r="L295">
        <v>46793</v>
      </c>
      <c r="M295">
        <v>45117</v>
      </c>
      <c r="N295" t="str">
        <v/>
      </c>
      <c r="O295" t="str">
        <v>Yes</v>
      </c>
      <c r="P295">
        <v>32.3056539905629</v>
      </c>
      <c r="Q295">
        <v>-64.78817544197068</v>
      </c>
    </row>
    <row r="296" xml:space="preserve">
      <c r="A296" t="str">
        <v>B0014-23</v>
      </c>
      <c r="B296" t="str" xml:space="preserve">
        <v xml:space="preserve">20 Burgess Point Road_x000d__x000d_
Warwick, BM WK04</v>
      </c>
      <c r="C296" t="str">
        <v>Permitted Development</v>
      </c>
      <c r="D296" t="str">
        <v>Complete</v>
      </c>
      <c r="E296">
        <v>44967</v>
      </c>
      <c r="F296" t="str">
        <v>Proposed Roof Mounted Solar Panels. 44 Panels 836 sq. ft. Total. 17.6 Total. (400w Per Panel, 19 sq ft Per Panel.)</v>
      </c>
      <c r="G296">
        <v>17.6</v>
      </c>
      <c r="H296" t="str">
        <v>Residential</v>
      </c>
      <c r="I296">
        <v>44936</v>
      </c>
      <c r="J296">
        <v>45225</v>
      </c>
      <c r="K296" t="str">
        <v>Warwick</v>
      </c>
      <c r="L296">
        <v>46793</v>
      </c>
      <c r="M296">
        <v>45180</v>
      </c>
      <c r="N296" t="str">
        <v/>
      </c>
      <c r="O296" t="str">
        <v>Yes</v>
      </c>
      <c r="P296">
        <v>32.267103</v>
      </c>
      <c r="Q296">
        <v>-64.828649</v>
      </c>
    </row>
    <row r="297" xml:space="preserve">
      <c r="A297" t="str">
        <v>B0059-23</v>
      </c>
      <c r="B297" t="str" xml:space="preserve">
        <v xml:space="preserve">13 Lolly's Lane_x000d__x000d_
Smiths, BM FL07</v>
      </c>
      <c r="C297" t="str">
        <v>Permitted Development</v>
      </c>
      <c r="D297" t="str">
        <v>Complete</v>
      </c>
      <c r="E297">
        <v>44970</v>
      </c>
      <c r="F297" t="str" xml:space="preserve">
        <v xml:space="preserve">Solar PV System: 23 Panels @ 380 W/ Panel; 19.8 sq ft/ Panel; Total sq ft 455.4; Total System Capacity 8.74 ; Total Annual Output 12,673 _x000d__x000d_
Tesla Powerwall: 1 Tesla Powerwall @ 13.5 /Powerwall; Total system capacity 13.5 h; 4.46 sq ft/Powerwall; Total sq ft 4.46</v>
      </c>
      <c r="G297">
        <v>8.74</v>
      </c>
      <c r="H297" t="str">
        <v>Residential</v>
      </c>
      <c r="I297">
        <v>44964</v>
      </c>
      <c r="J297">
        <v>45089</v>
      </c>
      <c r="K297" t="str">
        <v>Smiths</v>
      </c>
      <c r="L297">
        <v>46797</v>
      </c>
      <c r="M297">
        <v>45063</v>
      </c>
      <c r="N297" t="str">
        <v/>
      </c>
      <c r="O297" t="str">
        <v>Yes</v>
      </c>
      <c r="P297">
        <v>32.320614</v>
      </c>
      <c r="Q297">
        <v>-64.728385</v>
      </c>
    </row>
    <row r="298" xml:space="preserve">
      <c r="A298" t="str">
        <v>B0058-23</v>
      </c>
      <c r="B298" t="str" xml:space="preserve">
        <v xml:space="preserve">80 Harbour Road_x000d__x000d_
Warwick, BM WK06</v>
      </c>
      <c r="C298" t="str">
        <v>Permitted Development</v>
      </c>
      <c r="D298" t="str">
        <v>Complete</v>
      </c>
      <c r="E298">
        <v>44970</v>
      </c>
      <c r="F298" t="str" xml:space="preserve">
        <v xml:space="preserve">Solar PV System: 40 Panels @ 380 W/Panel; 19.8 sq ft/Panel; Total sq ft 792; Total System Capacity 15.20 ; Total Annual Output 22,040 ._x000d__x000d_
*Revision* (1) Solar PV System: 38 Panels @ 380 W/Panel; 19.8 sq ft/Panel; Total sq ft 752.4; Total System Capacity 14.44 ; Total Annual Output 20,938  | Tesla Powerwall: 1 Tesla Powerwall @ 13.5 ; Total System Capacity 13.5 ; 4.48 sq ft/Powerwall; Total sq ft 4.48.</v>
      </c>
      <c r="G298">
        <v>14.44</v>
      </c>
      <c r="H298" t="str">
        <v>Residential</v>
      </c>
      <c r="I298">
        <v>44964</v>
      </c>
      <c r="J298">
        <v>45106</v>
      </c>
      <c r="K298" t="str">
        <v>Warwick</v>
      </c>
      <c r="L298">
        <v>46797</v>
      </c>
      <c r="M298">
        <v>45092</v>
      </c>
      <c r="N298" t="str">
        <v/>
      </c>
      <c r="O298" t="str">
        <v>Yes</v>
      </c>
      <c r="P298">
        <v>32.280388</v>
      </c>
      <c r="Q298">
        <v>-64.796549</v>
      </c>
    </row>
    <row r="299" xml:space="preserve">
      <c r="A299" t="str">
        <v>B0208-22</v>
      </c>
      <c r="B299" t="str" xml:space="preserve">
        <v xml:space="preserve">10 Devon Point Lane_x000d__x000d_
Devonshire, FL05</v>
      </c>
      <c r="C299" t="str">
        <v>Permitted Development</v>
      </c>
      <c r="D299" t="str">
        <v>Complete</v>
      </c>
      <c r="E299">
        <v>44974</v>
      </c>
      <c r="F299" t="str">
        <v>Proposed Solar Panels Affixed to Roof. 18 Panels, 342 sq ft Total. 7.2 Total. (400w Per Panel, 19 sq ft Per Panel.)</v>
      </c>
      <c r="G299">
        <v>7.2</v>
      </c>
      <c r="H299" t="str">
        <v>Residential</v>
      </c>
      <c r="I299">
        <v>44673</v>
      </c>
      <c r="J299">
        <v>45138</v>
      </c>
      <c r="K299" t="str">
        <v>Devonshire</v>
      </c>
      <c r="L299">
        <v>46800</v>
      </c>
      <c r="M299">
        <v>45128</v>
      </c>
      <c r="N299" t="str">
        <v/>
      </c>
      <c r="O299" t="str">
        <v>Yes</v>
      </c>
      <c r="P299">
        <v>32.300133</v>
      </c>
      <c r="Q299">
        <v>-64.743776</v>
      </c>
    </row>
    <row r="300" xml:space="preserve">
      <c r="A300" t="str">
        <v>B0012-23</v>
      </c>
      <c r="B300" t="str" xml:space="preserve">
        <v xml:space="preserve">22 Narrows Lane_x000d__x000d_
St. George's, BM DD01</v>
      </c>
      <c r="C300" t="str">
        <v>Permitted Development</v>
      </c>
      <c r="D300" t="str">
        <v>Complete</v>
      </c>
      <c r="E300">
        <v>44977</v>
      </c>
      <c r="F300" t="str">
        <v>Addition to Roof Mounted Solar PV System - 98sqft; 5x 360W Modules; System Capacity: 1.8; Wall Mounted Battery System - 10h</v>
      </c>
      <c r="G300">
        <v>1.8</v>
      </c>
      <c r="H300" t="str">
        <v>Residential</v>
      </c>
      <c r="I300">
        <v>44936</v>
      </c>
      <c r="J300">
        <v>45098</v>
      </c>
      <c r="K300" t="str">
        <v>St. George</v>
      </c>
      <c r="L300">
        <v>46804</v>
      </c>
      <c r="M300">
        <v>45093</v>
      </c>
      <c r="N300" t="str">
        <v/>
      </c>
      <c r="O300" t="str">
        <v>Yes</v>
      </c>
      <c r="P300">
        <v>32.369247</v>
      </c>
      <c r="Q300">
        <v>-64.66457</v>
      </c>
    </row>
    <row r="301" xml:space="preserve">
      <c r="A301" t="str">
        <v>B0064-23</v>
      </c>
      <c r="B301" t="str" xml:space="preserve">
        <v xml:space="preserve">8 Agar's Hill_x000d__x000d_
Pembroke, BM HM05</v>
      </c>
      <c r="C301" t="str">
        <v>Permitted Development</v>
      </c>
      <c r="D301" t="str">
        <v>Complete</v>
      </c>
      <c r="E301">
        <v>44977</v>
      </c>
      <c r="F301" t="str">
        <v>Roof Mounted Solar PV System - 585 sqft, 30 x 360W Modules, System Capacity: 10.8  Wall Mounted Battery System - 20h</v>
      </c>
      <c r="G301">
        <v>10.8</v>
      </c>
      <c r="H301" t="str">
        <v>Residential</v>
      </c>
      <c r="I301">
        <v>44967</v>
      </c>
      <c r="J301">
        <v>45229</v>
      </c>
      <c r="K301" t="str">
        <v>Pembroke</v>
      </c>
      <c r="L301">
        <v>46804</v>
      </c>
      <c r="M301">
        <v>45161</v>
      </c>
      <c r="N301" t="str">
        <v/>
      </c>
      <c r="O301" t="str">
        <v>Yes</v>
      </c>
      <c r="P301">
        <v>32.2944</v>
      </c>
      <c r="Q301">
        <v>-64.805</v>
      </c>
    </row>
    <row r="302" xml:space="preserve">
      <c r="A302" t="str">
        <v>B0030-23</v>
      </c>
      <c r="B302" t="str" xml:space="preserve">
        <v xml:space="preserve">22 Mission Crescent_x000d__x000d_
Paget, BM PG06</v>
      </c>
      <c r="C302" t="str">
        <v>Permitted Development</v>
      </c>
      <c r="D302" t="str">
        <v>Complete</v>
      </c>
      <c r="E302">
        <v>44977</v>
      </c>
      <c r="F302" t="str" xml:space="preserve">
        <v xml:space="preserve">Solar PV System: 36 panels @ 380 &amp; 220 W/panel; 19.8 &amp; 20 sq ft/panel; Total sq ft 716.2; Total system capacity 10.96 ; Total annual output 15,892 h _x000d_
_x000d_
Note: two different model panels will make up the one system, see drawings.</v>
      </c>
      <c r="G302">
        <v>10.96</v>
      </c>
      <c r="H302" t="str">
        <v>Residential</v>
      </c>
      <c r="I302">
        <v>44942</v>
      </c>
      <c r="J302">
        <v>45047</v>
      </c>
      <c r="K302" t="str">
        <v>Paget</v>
      </c>
      <c r="L302">
        <v>46804</v>
      </c>
      <c r="M302">
        <v>45044</v>
      </c>
      <c r="N302" t="str">
        <v/>
      </c>
      <c r="O302" t="str">
        <v>Yes</v>
      </c>
      <c r="P302">
        <v>32.277893</v>
      </c>
      <c r="Q302">
        <v>-64.772558</v>
      </c>
    </row>
    <row r="303" xml:space="preserve">
      <c r="A303" t="str">
        <v>B0066-23</v>
      </c>
      <c r="B303" t="str" xml:space="preserve">
        <v xml:space="preserve">15 Pinetree Lane Unit: A_x000d__x000d_
Sandys, BM MA02</v>
      </c>
      <c r="C303" t="str">
        <v>Permitted Development</v>
      </c>
      <c r="D303" t="str">
        <v>Complete</v>
      </c>
      <c r="E303">
        <v>44985</v>
      </c>
      <c r="F303" t="str" xml:space="preserve">
        <v xml:space="preserve">Solar PV System: 17 Panels @ 380 W/Panel; 19.8 sq ft/Panel; Total sq ft 336.6; Total System Capacity 6.46 ; Total Annual Output 9,367 h._x000d__x000d_
*Revision* (1) Solar PV System: 12 panels @ 380 W/panel; 19.8 sq ft/panel; Total sq ft 237.6; Total system capacity 4.56 ; Total annual output 6,612 h.</v>
      </c>
      <c r="G303">
        <v>4.56</v>
      </c>
      <c r="H303" t="str">
        <v>Residential</v>
      </c>
      <c r="I303">
        <v>44972</v>
      </c>
      <c r="J303">
        <v>45056</v>
      </c>
      <c r="K303" t="str">
        <v>Sandys</v>
      </c>
      <c r="L303">
        <v>46811</v>
      </c>
      <c r="M303">
        <v>45056</v>
      </c>
      <c r="N303" t="str">
        <v/>
      </c>
      <c r="O303" t="str">
        <v>Yes</v>
      </c>
      <c r="P303">
        <v>32.3015127</v>
      </c>
      <c r="Q303">
        <v>-64.8639537</v>
      </c>
    </row>
    <row r="304" xml:space="preserve">
      <c r="A304" t="str">
        <v>B0069-23</v>
      </c>
      <c r="B304" t="str" xml:space="preserve">
        <v xml:space="preserve">34 Mill Shares Road_x000d__x000d_
Pembroke, BM HM05</v>
      </c>
      <c r="C304" t="str">
        <v>Permitted Development</v>
      </c>
      <c r="D304" t="str">
        <v>Complete</v>
      </c>
      <c r="E304">
        <v>44988</v>
      </c>
      <c r="F304" t="str" xml:space="preserve">
        <v xml:space="preserve">Solar PV System: 25 Panels @ 380 W/Panel; 19.8 sq ft/Panel; Total sq ft 495; Total System Capacity 9.5 ; Total Annual Output 13.015 h  _x000d__x000d_
Tesla Powerwall: 2 Tesla Powerwalls @ 13.5  ea; Total System Capacity 27 ; 4.48 sq ft/Powerwall; Total sq ft 8.96</v>
      </c>
      <c r="G304">
        <v>9.5</v>
      </c>
      <c r="H304" t="str">
        <v>Residential</v>
      </c>
      <c r="I304">
        <v>44972</v>
      </c>
      <c r="J304">
        <v>45126</v>
      </c>
      <c r="K304" t="str">
        <v>Pembroke</v>
      </c>
      <c r="L304">
        <v>46814</v>
      </c>
      <c r="M304">
        <v>45124</v>
      </c>
      <c r="N304" t="str">
        <v/>
      </c>
      <c r="O304" t="str">
        <v>Yes</v>
      </c>
      <c r="P304">
        <v>32.298722</v>
      </c>
      <c r="Q304">
        <v>-64.805815</v>
      </c>
    </row>
    <row r="305" xml:space="preserve">
      <c r="A305" t="str">
        <v>BR0027-23</v>
      </c>
      <c r="B305" t="str" xml:space="preserve">
        <v xml:space="preserve">61 Harbour Road_x000d__x000d_
Paget, BM PG02</v>
      </c>
      <c r="C305" t="str">
        <v>Building - Residential</v>
      </c>
      <c r="D305" t="str">
        <v>Complete</v>
      </c>
      <c r="E305">
        <v>44988</v>
      </c>
      <c r="F305" t="str">
        <v>Solar PV System: 21 Panels @ 380 W/Panel; 19.8 sq ft/Panel; Total sq ft 400; Total System Capacity 7.98 ; Total Annual Output 11,571 h</v>
      </c>
      <c r="G305">
        <v>7.98</v>
      </c>
      <c r="H305" t="str">
        <v>Building Residential</v>
      </c>
      <c r="I305">
        <v>44970</v>
      </c>
      <c r="J305">
        <v>45014</v>
      </c>
      <c r="K305" t="str">
        <v>Paget</v>
      </c>
      <c r="L305">
        <v>46814</v>
      </c>
      <c r="M305">
        <v>45007</v>
      </c>
      <c r="N305" t="str">
        <v/>
      </c>
      <c r="O305" t="str">
        <v>Yes</v>
      </c>
      <c r="P305">
        <v>32.286387</v>
      </c>
      <c r="Q305">
        <v>-64.782047</v>
      </c>
    </row>
    <row r="306" xml:space="preserve">
      <c r="A306" t="str">
        <v>BC0130-22</v>
      </c>
      <c r="B306" t="str" xml:space="preserve">
        <v xml:space="preserve">24 Rosemont Avenue_x000d__x000d_
Pembroke, HM06</v>
      </c>
      <c r="C306" t="str">
        <v>Building - Commercial</v>
      </c>
      <c r="D306" t="str">
        <v>Complete</v>
      </c>
      <c r="E306">
        <v>44988</v>
      </c>
      <c r="F306" t="str">
        <v>PROPOSED ROOF MOUNTED SOLAR PV SYSTEM 84 X 490WATT SOLAR PANELS - 41.16 . MODULE AREA 25.24 SQ. FT., TOTAL 2120.16 SQ. FT.</v>
      </c>
      <c r="G306">
        <v>41.16</v>
      </c>
      <c r="H306" t="str">
        <v>Building Commercial</v>
      </c>
      <c r="I306">
        <v>44879</v>
      </c>
      <c r="J306">
        <v>45098</v>
      </c>
      <c r="K306" t="str">
        <v>Pembroke</v>
      </c>
      <c r="L306">
        <v>46814</v>
      </c>
      <c r="M306">
        <v>45091</v>
      </c>
      <c r="N306" t="str">
        <v/>
      </c>
      <c r="O306" t="str">
        <v>Yes</v>
      </c>
      <c r="P306">
        <v>32.294916</v>
      </c>
      <c r="Q306">
        <v>-64.793056</v>
      </c>
    </row>
    <row r="307" xml:space="preserve">
      <c r="A307" t="str">
        <v>B0080-23</v>
      </c>
      <c r="B307" t="str" xml:space="preserve">
        <v xml:space="preserve">2 Bloomfield Drive_x000d__x000d_
Warwick, BM WK04, Bermuda</v>
      </c>
      <c r="C307" t="str">
        <v>Permitted Development</v>
      </c>
      <c r="D307" t="str">
        <v>Complete</v>
      </c>
      <c r="E307">
        <v>44992</v>
      </c>
      <c r="F307" t="str">
        <v>Roof Mounted Solar PV System - 412sqft, 21 x Aptos 365W Modules, System Capacity: 7.665</v>
      </c>
      <c r="G307">
        <v>7.665</v>
      </c>
      <c r="H307" t="str">
        <v>Residential</v>
      </c>
      <c r="I307">
        <v>44980</v>
      </c>
      <c r="J307">
        <v>45154</v>
      </c>
      <c r="K307" t="str">
        <v>Warwick</v>
      </c>
      <c r="L307">
        <v>46818</v>
      </c>
      <c r="M307">
        <v>45149</v>
      </c>
      <c r="N307" t="str">
        <v/>
      </c>
      <c r="O307" t="str">
        <v>Yes</v>
      </c>
      <c r="P307">
        <v>32.263842</v>
      </c>
      <c r="Q307">
        <v>-64.821897</v>
      </c>
    </row>
    <row r="308" xml:space="preserve">
      <c r="A308" t="str">
        <v>B0478-22</v>
      </c>
      <c r="B308" t="str" xml:space="preserve">
        <v xml:space="preserve">15 Point Shares Road_x000d__x000d_
Pembroke, HM05</v>
      </c>
      <c r="C308" t="str">
        <v>Permitted Development</v>
      </c>
      <c r="D308" t="str">
        <v>Complete</v>
      </c>
      <c r="E308">
        <v>44992</v>
      </c>
      <c r="F308" t="str">
        <v>Roof Mounted Solar PV System - 236sqft, 12x365W Modules, System Capacity: 4.38 and Wall Mounted Battery System - 20h</v>
      </c>
      <c r="G308">
        <v>4.38</v>
      </c>
      <c r="H308" t="str">
        <v>Residential</v>
      </c>
      <c r="I308">
        <v>44846</v>
      </c>
      <c r="J308">
        <v>45163</v>
      </c>
      <c r="K308" t="str">
        <v>Pembroke</v>
      </c>
      <c r="L308">
        <v>46818</v>
      </c>
      <c r="M308">
        <v>45162</v>
      </c>
      <c r="N308" t="str">
        <v/>
      </c>
      <c r="O308" t="str">
        <v>Yes</v>
      </c>
      <c r="P308">
        <v>32.2942916</v>
      </c>
      <c r="Q308">
        <v>-64.803488</v>
      </c>
    </row>
    <row r="309" xml:space="preserve">
      <c r="A309" t="str">
        <v>B0045-23</v>
      </c>
      <c r="B309" t="str" xml:space="preserve">
        <v xml:space="preserve">8 Tousvent Lane_x000d__x000d_
Warwick, BM WK09</v>
      </c>
      <c r="C309" t="str">
        <v>Permitted Development</v>
      </c>
      <c r="D309" t="str">
        <v>Complete</v>
      </c>
      <c r="E309">
        <v>44993</v>
      </c>
      <c r="F309" t="str">
        <v>Roof Top Solar; 16 Panels @ 320 W/Panel; Total Area 299 sq ft; Total System Capacity 5.12 .</v>
      </c>
      <c r="G309">
        <v>5.12</v>
      </c>
      <c r="H309" t="str">
        <v>Residential</v>
      </c>
      <c r="I309">
        <v>44953</v>
      </c>
      <c r="J309">
        <v>45154</v>
      </c>
      <c r="K309" t="str">
        <v>Warwick</v>
      </c>
      <c r="L309">
        <v>46819</v>
      </c>
      <c r="M309">
        <v>45149</v>
      </c>
      <c r="N309" t="str">
        <v/>
      </c>
      <c r="O309" t="str">
        <v>Yes</v>
      </c>
      <c r="P309">
        <v>32.275437</v>
      </c>
      <c r="Q309">
        <v>-64.7926468</v>
      </c>
    </row>
    <row r="310" xml:space="preserve">
      <c r="A310" t="str">
        <v>B0499-22</v>
      </c>
      <c r="B310" t="str" xml:space="preserve">
        <v xml:space="preserve">3 Windy Bank_x000d__x000d_
Smiths, FL02</v>
      </c>
      <c r="C310" t="str">
        <v>Permitted Development</v>
      </c>
      <c r="D310" t="str">
        <v>Issued</v>
      </c>
      <c r="E310">
        <v>44994</v>
      </c>
      <c r="F310" t="str">
        <v xml:space="preserve">Solar PV System: 24 Panels @ 380w/Panel; 19.8 sq ft/ Panel; Total sq ft 475.2; Total System Capacity 9.12; Total Annual Output 12,668 </v>
      </c>
      <c r="G310">
        <v>9.12</v>
      </c>
      <c r="H310" t="str">
        <v>Residential</v>
      </c>
      <c r="I310">
        <v>44855</v>
      </c>
      <c r="J310">
        <v>45462</v>
      </c>
      <c r="K310" t="str">
        <v>Smiths</v>
      </c>
      <c r="L310">
        <v>46820</v>
      </c>
      <c r="M310">
        <v>45420</v>
      </c>
      <c r="N310" t="str">
        <v/>
      </c>
      <c r="O310" t="str">
        <v>Yes</v>
      </c>
      <c r="P310">
        <v>32.314349</v>
      </c>
      <c r="Q310">
        <v>-64.742889</v>
      </c>
    </row>
    <row r="311" xml:space="preserve">
      <c r="A311" t="str">
        <v>B0089-23</v>
      </c>
      <c r="B311" t="str" xml:space="preserve">
        <v xml:space="preserve">5 Cann Drive_x000d__x000d_
Sandys, BM MA04</v>
      </c>
      <c r="C311" t="str">
        <v>Permitted Development</v>
      </c>
      <c r="D311" t="str">
        <v>Complete</v>
      </c>
      <c r="E311">
        <v>45007</v>
      </c>
      <c r="F311" t="str" xml:space="preserve">
        <v xml:space="preserve">Solar PV System: 15 panels @ 380 W/panel; 19.8 sq ft/panel; Total sq ft 297; Total system capacity 5.70 ; Total annual output 8,265 h _x000d_
Tesla Powerwall: 1 Tesla Powerwall @ 13.5 ; Total System Capacity 13.5 ; 4.48 sq ft/Powerwall; Total sq ft 4.48</v>
      </c>
      <c r="G311">
        <v>13.5</v>
      </c>
      <c r="H311" t="str">
        <v>Residential</v>
      </c>
      <c r="I311">
        <v>44987</v>
      </c>
      <c r="J311">
        <v>45127</v>
      </c>
      <c r="K311" t="str">
        <v>Sandys</v>
      </c>
      <c r="L311">
        <v>46833</v>
      </c>
      <c r="M311">
        <v>45121</v>
      </c>
      <c r="N311" t="str">
        <v/>
      </c>
      <c r="O311" t="str">
        <v>Yes</v>
      </c>
      <c r="P311">
        <v>32.2941084</v>
      </c>
      <c r="Q311">
        <v>-64.8725165</v>
      </c>
    </row>
    <row r="312" xml:space="preserve">
      <c r="A312" t="str">
        <v>B0083-23</v>
      </c>
      <c r="B312" t="str" xml:space="preserve">
        <v xml:space="preserve">11 Manse Road_x000d__x000d_
Paget, BM PG02</v>
      </c>
      <c r="C312" t="str">
        <v>Permitted Development</v>
      </c>
      <c r="D312" t="str">
        <v>Complete</v>
      </c>
      <c r="E312">
        <v>45007</v>
      </c>
      <c r="F312" t="str">
        <v>11 x Peimar 360W Solar Panels , System Capacity - 3.96  , System Area - 216 sq ft</v>
      </c>
      <c r="G312">
        <v>3.96</v>
      </c>
      <c r="H312" t="str">
        <v>Commercial</v>
      </c>
      <c r="I312">
        <v>44981</v>
      </c>
      <c r="J312">
        <v>45226</v>
      </c>
      <c r="K312" t="str">
        <v>Paget</v>
      </c>
      <c r="L312">
        <v>46833</v>
      </c>
      <c r="M312">
        <v>45051</v>
      </c>
      <c r="N312" t="str">
        <v/>
      </c>
      <c r="O312" t="str">
        <v>Yes</v>
      </c>
      <c r="P312">
        <v>32.281129</v>
      </c>
      <c r="Q312">
        <v>-64.789129</v>
      </c>
    </row>
    <row r="313" xml:space="preserve">
      <c r="A313" t="str">
        <v>B0046-23</v>
      </c>
      <c r="B313" t="str" xml:space="preserve">
        <v xml:space="preserve">52 Ord Road_x000d__x000d_
Paget, BM PG03</v>
      </c>
      <c r="C313" t="str">
        <v>Permitted Development</v>
      </c>
      <c r="D313" t="str">
        <v>Complete</v>
      </c>
      <c r="E313">
        <v>45008</v>
      </c>
      <c r="F313" t="str">
        <v>Roof Top Solar, 12 - 345W PV Modules, (4.14 ), Annual Production 6,173 h, Total Area 242 Square Feet.</v>
      </c>
      <c r="G313">
        <v>4.14</v>
      </c>
      <c r="H313" t="str">
        <v>Residential</v>
      </c>
      <c r="I313">
        <v>44953</v>
      </c>
      <c r="J313">
        <v>45086</v>
      </c>
      <c r="K313" t="str">
        <v>Paget</v>
      </c>
      <c r="L313">
        <v>46834</v>
      </c>
      <c r="M313">
        <v>45061</v>
      </c>
      <c r="N313" t="str">
        <v/>
      </c>
      <c r="O313" t="str">
        <v>Yes</v>
      </c>
      <c r="P313">
        <v>32.278589</v>
      </c>
      <c r="Q313">
        <v>-64.781118</v>
      </c>
    </row>
    <row r="314" xml:space="preserve">
      <c r="A314" t="str">
        <v>B0105-23</v>
      </c>
      <c r="B314" t="str" xml:space="preserve">
        <v xml:space="preserve">102 Cobbs Hill Road_x000d__x000d_
Warwick, BM WK10</v>
      </c>
      <c r="C314" t="str">
        <v>Permitted Development</v>
      </c>
      <c r="D314" t="str">
        <v>Complete</v>
      </c>
      <c r="E314">
        <v>45014</v>
      </c>
      <c r="F314" t="str">
        <v xml:space="preserve">Solar PV System: 12 Panels @ 380 W/Panel; 19.8 sq ft/Panel; Total sq ft 237.6; Total System Capacity 4.56 ; Total Annual Output 6,612 </v>
      </c>
      <c r="G314">
        <v>4.56</v>
      </c>
      <c r="H314" t="str">
        <v>Residential</v>
      </c>
      <c r="I314">
        <v>44998</v>
      </c>
      <c r="J314">
        <v>45146</v>
      </c>
      <c r="K314" t="str">
        <v>Warwick</v>
      </c>
      <c r="L314">
        <v>46840</v>
      </c>
      <c r="M314">
        <v>45139</v>
      </c>
      <c r="N314" t="str">
        <v/>
      </c>
      <c r="O314" t="str">
        <v>Yes</v>
      </c>
      <c r="P314">
        <v>32.270143</v>
      </c>
      <c r="Q314">
        <v>-64.787835</v>
      </c>
    </row>
    <row r="315" xml:space="preserve">
      <c r="A315" t="str">
        <v>B0113-23</v>
      </c>
      <c r="B315" t="str" xml:space="preserve">
        <v xml:space="preserve">17 Clarendon Road_x000d__x000d_
Hamilton, BM FL04</v>
      </c>
      <c r="C315" t="str">
        <v>Permitted Development</v>
      </c>
      <c r="D315" t="str">
        <v>Complete</v>
      </c>
      <c r="E315">
        <v>45014</v>
      </c>
      <c r="F315" t="str">
        <v xml:space="preserve">Solar PV System: 12 Panels @ 380 W/Panel; 19.8 sq ft/Panel; Total sq ft 237.6; Total System Capacity 4.56 ; Total Annual Output 6,612 </v>
      </c>
      <c r="G315">
        <v>4.56</v>
      </c>
      <c r="H315" t="str">
        <v>Residential</v>
      </c>
      <c r="I315">
        <v>45005</v>
      </c>
      <c r="J315">
        <v>45043</v>
      </c>
      <c r="K315" t="str">
        <v>Hamilton</v>
      </c>
      <c r="L315">
        <v>46840</v>
      </c>
      <c r="M315">
        <v>45042</v>
      </c>
      <c r="N315" t="str">
        <v/>
      </c>
      <c r="O315" t="str">
        <v>Yes</v>
      </c>
      <c r="P315">
        <v>32.320857</v>
      </c>
      <c r="Q315">
        <v>-64.73705</v>
      </c>
    </row>
    <row r="316" xml:space="preserve">
      <c r="A316" t="str">
        <v>B0098-23</v>
      </c>
      <c r="B316" t="str" xml:space="preserve">
        <v xml:space="preserve">38 Astwood Road_x000d__x000d_
Paget, BM DV04, Bermuda</v>
      </c>
      <c r="C316" t="str">
        <v>Permitted Development</v>
      </c>
      <c r="D316" t="str">
        <v>Complete</v>
      </c>
      <c r="E316">
        <v>45019</v>
      </c>
      <c r="F316" t="str" xml:space="preserve">
        <v xml:space="preserve">Solar PV System: 17 Panels @ 380 W/Panel; 19.8 sq ft/Panel; Total sq ft 336.6; Total System Capacity 6.46 ; Total Annual Output 9,367 ._x000d__x000d_
*Revision* (1) Solar PV System: 17 panels @ 380 W/panel; 19.8 sq ft/panel; Total sq ft 336.6; Total system capacity 6.46 ; Total annual output 9,367 h._x000d__x000d_
*Revision 2: Additional Solar PV System: 12 panels @ 380 w/panel; 19.8 sq ft/panel; Total sq ft 237.6; Total System Capacity 4.56 ; Total Annual Output 6,612 h (P0520-23, Building only)</v>
      </c>
      <c r="G316">
        <v>11.02</v>
      </c>
      <c r="H316" t="str">
        <v>Residential</v>
      </c>
      <c r="I316">
        <v>44994</v>
      </c>
      <c r="J316">
        <v>45232</v>
      </c>
      <c r="K316" t="str">
        <v>Paget</v>
      </c>
      <c r="L316">
        <v>46846</v>
      </c>
      <c r="M316">
        <v>45224</v>
      </c>
      <c r="N316" t="str">
        <v/>
      </c>
      <c r="O316" t="str">
        <v>Yes</v>
      </c>
      <c r="P316">
        <v>32.289628</v>
      </c>
      <c r="Q316">
        <v>-64.766077</v>
      </c>
    </row>
    <row r="317" xml:space="preserve">
      <c r="A317" t="str">
        <v>B0127-23</v>
      </c>
      <c r="B317" t="str" xml:space="preserve">
        <v xml:space="preserve">4 Keybay Lane_x000d__x000d_
Pembroke, BM HM05</v>
      </c>
      <c r="C317" t="str">
        <v>Permitted Development</v>
      </c>
      <c r="D317" t="str">
        <v>Complete</v>
      </c>
      <c r="E317">
        <v>45019</v>
      </c>
      <c r="F317" t="str">
        <v>Solar PV System: 18 panels @ 380 W/panel; 19.8 sq ft/panel; Total sq ft 356.4; Total system capacity 6.84 ; Total annual output 9,918 h</v>
      </c>
      <c r="G317">
        <v>6.84</v>
      </c>
      <c r="H317" t="str">
        <v>Residential</v>
      </c>
      <c r="I317">
        <v>45013</v>
      </c>
      <c r="J317">
        <v>45065</v>
      </c>
      <c r="K317" t="str">
        <v>Pembroke</v>
      </c>
      <c r="L317">
        <v>46846</v>
      </c>
      <c r="M317">
        <v>45062</v>
      </c>
      <c r="N317" t="str">
        <v/>
      </c>
      <c r="O317" t="str">
        <v>Yes</v>
      </c>
      <c r="P317">
        <v>32.2959159</v>
      </c>
      <c r="Q317">
        <v>-64.8040488</v>
      </c>
    </row>
    <row r="318" xml:space="preserve">
      <c r="A318" t="str">
        <v>B0138-23</v>
      </c>
      <c r="B318" t="str" xml:space="preserve">
        <v xml:space="preserve">16 Oleander Lane_x000d__x000d_
Devonshire, BM DV06</v>
      </c>
      <c r="C318" t="str">
        <v>Permitted Development</v>
      </c>
      <c r="D318" t="str">
        <v>Complete</v>
      </c>
      <c r="E318">
        <v>45028</v>
      </c>
      <c r="F318" t="str">
        <v>Solar PV System: 23 Panels @ 380 W/Panel; 19.8 sq ft/Panel; Total sq ft 455.4; Total System Capacity 8.74 ; Total Annual Output 12,673  | Tesla Powerwall: 2 Tesla Powerwall @ 13.5/Powerwall; Total System Capacity 27 ; 4.48 sq ft/ Powerwall; Total sq ft 8.96</v>
      </c>
      <c r="G318">
        <v>8.74</v>
      </c>
      <c r="H318" t="str">
        <v>Residential</v>
      </c>
      <c r="I318">
        <v>45019</v>
      </c>
      <c r="J318">
        <v>45181</v>
      </c>
      <c r="K318" t="str">
        <v>Devonshire</v>
      </c>
      <c r="L318">
        <v>46854</v>
      </c>
      <c r="M318">
        <v>45177</v>
      </c>
      <c r="N318" t="str">
        <v/>
      </c>
      <c r="O318" t="str">
        <v>Yes</v>
      </c>
      <c r="P318">
        <v>32.307037</v>
      </c>
      <c r="Q318">
        <v>-64.750682</v>
      </c>
    </row>
    <row r="319" xml:space="preserve">
      <c r="A319" t="str">
        <v>B0129-23</v>
      </c>
      <c r="B319" t="str" xml:space="preserve">
        <v xml:space="preserve">13 Fairways Road_x000d__x000d_
Warwick, BM WK04</v>
      </c>
      <c r="C319" t="str">
        <v>Permitted Development</v>
      </c>
      <c r="D319" t="str">
        <v>Complete</v>
      </c>
      <c r="E319">
        <v>45028</v>
      </c>
      <c r="F319" t="str">
        <v>Solar PV System: 14 Panels @ 380 W/Panel; 19.8 sq ft/Panel; Total sq ft 277.2; Total System Capacity 5.32 ; Total Annual Output 7,714</v>
      </c>
      <c r="G319">
        <v>5.32</v>
      </c>
      <c r="H319" t="str">
        <v>Residential</v>
      </c>
      <c r="I319">
        <v>45015</v>
      </c>
      <c r="J319">
        <v>45117</v>
      </c>
      <c r="K319" t="str">
        <v>Warwick</v>
      </c>
      <c r="L319">
        <v>46854</v>
      </c>
      <c r="M319">
        <v>45090</v>
      </c>
      <c r="N319" t="str">
        <v/>
      </c>
      <c r="O319" t="str">
        <v>Yes</v>
      </c>
      <c r="P319">
        <v>32.262776</v>
      </c>
      <c r="Q319">
        <v>-64.829281</v>
      </c>
    </row>
    <row r="320" xml:space="preserve">
      <c r="A320" t="str">
        <v>B0097-23</v>
      </c>
      <c r="B320" t="str" xml:space="preserve">
        <v xml:space="preserve">22 Scott's Hill Road_x000d__x000d_
Sandys, BM MA02</v>
      </c>
      <c r="C320" t="str">
        <v>Permitted Development</v>
      </c>
      <c r="D320" t="str">
        <v>Complete</v>
      </c>
      <c r="E320">
        <v>45028</v>
      </c>
      <c r="F320" t="str">
        <v>Solar PV System: 24 Panels @ 380 W/Panel; 19.8 sq ft/Panel &amp; 5 Panels @ 220 W/Panel; 20 sq ft/Panel; Total sq ft 575.2; Total System Capacity 10.22 ; Total Annual Output 14,819  | Tesla Powerwall: 1 Tesla Powerwall @ 13.5; Total System Capacity 13.5 ; 4.48 sq ft/ Powerwall; Total sq ft 4.48</v>
      </c>
      <c r="G320">
        <v>10.22</v>
      </c>
      <c r="H320" t="str">
        <v>Residential</v>
      </c>
      <c r="I320">
        <v>44994</v>
      </c>
      <c r="J320">
        <v>45114</v>
      </c>
      <c r="K320" t="str">
        <v>Sandys</v>
      </c>
      <c r="L320">
        <v>46854</v>
      </c>
      <c r="M320">
        <v>45114</v>
      </c>
      <c r="N320" t="str">
        <v/>
      </c>
      <c r="O320" t="str">
        <v>Yes</v>
      </c>
      <c r="P320">
        <v>32.298507</v>
      </c>
      <c r="Q320">
        <v>-64.863986</v>
      </c>
    </row>
    <row r="321" xml:space="preserve">
      <c r="A321" t="str">
        <v>B0133-23</v>
      </c>
      <c r="B321" t="str" xml:space="preserve">
        <v xml:space="preserve">16 Trimingham Hill_x000d__x000d_
Paget, BM PG05</v>
      </c>
      <c r="C321" t="str">
        <v>Permitted Development</v>
      </c>
      <c r="D321" t="str">
        <v>Issued</v>
      </c>
      <c r="E321">
        <v>45028</v>
      </c>
      <c r="F321" t="str">
        <v xml:space="preserve">Roof Mounted Solar PV System - 334 sq ft, 17 Aptos 370W Modules, System Capacity: 6.29 </v>
      </c>
      <c r="G321">
        <v>6.29</v>
      </c>
      <c r="H321" t="str">
        <v>Residential</v>
      </c>
      <c r="I321">
        <v>45016</v>
      </c>
      <c r="J321">
        <v>45478</v>
      </c>
      <c r="K321" t="str">
        <v>Paget</v>
      </c>
      <c r="L321">
        <v>46854</v>
      </c>
      <c r="M321">
        <v>45463</v>
      </c>
      <c r="N321" t="str">
        <v/>
      </c>
      <c r="O321" t="str">
        <v>Yes</v>
      </c>
      <c r="P321">
        <v>32.289313</v>
      </c>
      <c r="Q321">
        <v>-64.769554</v>
      </c>
    </row>
    <row r="322" xml:space="preserve">
      <c r="A322" t="str">
        <v>B0475-22</v>
      </c>
      <c r="B322" t="str" xml:space="preserve">
        <v xml:space="preserve">24 Burgess Point Road_x000d__x000d_
Warwick, BM WK04, Bermuda</v>
      </c>
      <c r="C322" t="str">
        <v>Permitted Development</v>
      </c>
      <c r="D322" t="str">
        <v>Complete</v>
      </c>
      <c r="E322">
        <v>45037</v>
      </c>
      <c r="F322" t="str">
        <v>Roof Mounted Solar PV System - 196sqft,  10x365W modules, System Capacity: 3.65</v>
      </c>
      <c r="G322">
        <v>3.65</v>
      </c>
      <c r="H322" t="str">
        <v>Residential</v>
      </c>
      <c r="I322">
        <v>44845</v>
      </c>
      <c r="J322">
        <v>45229</v>
      </c>
      <c r="K322" t="str">
        <v>Warwick</v>
      </c>
      <c r="L322">
        <v>46863</v>
      </c>
      <c r="M322">
        <v>45218</v>
      </c>
      <c r="N322" t="str">
        <v/>
      </c>
      <c r="O322" t="str">
        <v>Yes</v>
      </c>
      <c r="P322">
        <v>32.267049</v>
      </c>
      <c r="Q322">
        <v>-64.829325</v>
      </c>
    </row>
    <row r="323" xml:space="preserve">
      <c r="A323" t="str">
        <v>B0147-23</v>
      </c>
      <c r="B323" t="str" xml:space="preserve">
        <v xml:space="preserve">29 St. David's Road_x000d__x000d_
St. George's, BM DD01</v>
      </c>
      <c r="C323" t="str">
        <v>Permitted Development</v>
      </c>
      <c r="D323" t="str">
        <v>Complete</v>
      </c>
      <c r="E323">
        <v>45041</v>
      </c>
      <c r="F323" t="str">
        <v xml:space="preserve">Solar PV System: 14 Panels @ 380 W/Panel; 19.8 sq ft/Panel; Total sq ft 277.2; Total System Capacity 5.32 ; Total Annual Output 7,714 </v>
      </c>
      <c r="G323">
        <v>5.32</v>
      </c>
      <c r="H323" t="str">
        <v>Residential</v>
      </c>
      <c r="I323">
        <v>45026</v>
      </c>
      <c r="J323">
        <v>45161</v>
      </c>
      <c r="K323" t="str">
        <v>St. George</v>
      </c>
      <c r="L323">
        <v>46867</v>
      </c>
      <c r="M323">
        <v>45159</v>
      </c>
      <c r="N323" t="str">
        <v/>
      </c>
      <c r="O323" t="str">
        <v>Yes</v>
      </c>
      <c r="P323">
        <v>32.367946</v>
      </c>
      <c r="Q323">
        <v>-64.6717864</v>
      </c>
    </row>
    <row r="324" xml:space="preserve">
      <c r="A324" t="str">
        <v>B0107-23</v>
      </c>
      <c r="B324" t="str" xml:space="preserve">
        <v xml:space="preserve">191 South Road_x000d__x000d_
Paget, BM DV04</v>
      </c>
      <c r="C324" t="str">
        <v>Permitted Development</v>
      </c>
      <c r="D324" t="str">
        <v>Complete</v>
      </c>
      <c r="E324">
        <v>45043</v>
      </c>
      <c r="F324" t="str">
        <v xml:space="preserve">Roof Mounted Solar PV System - 468 sq ft, 24 x 360W Modules, System Capacity: 8.64 </v>
      </c>
      <c r="G324">
        <v>8.64</v>
      </c>
      <c r="H324" t="str">
        <v>Residential</v>
      </c>
      <c r="I324">
        <v>45000</v>
      </c>
      <c r="J324">
        <v>45154</v>
      </c>
      <c r="K324" t="str">
        <v>Paget</v>
      </c>
      <c r="L324">
        <v>46869</v>
      </c>
      <c r="M324">
        <v>45134</v>
      </c>
      <c r="N324" t="str">
        <v/>
      </c>
      <c r="O324" t="str">
        <v>Yes</v>
      </c>
      <c r="P324">
        <v>32.280726</v>
      </c>
      <c r="Q324">
        <v>-64.776702</v>
      </c>
    </row>
    <row r="325" xml:space="preserve">
      <c r="A325" t="str">
        <v>BC0034-23</v>
      </c>
      <c r="B325" t="str" xml:space="preserve">
        <v xml:space="preserve">18 Church Street_x000d__x000d_
City of Hamilton, BM HM11</v>
      </c>
      <c r="C325" t="str">
        <v>Building - Commercial</v>
      </c>
      <c r="D325" t="str">
        <v>Complete</v>
      </c>
      <c r="E325">
        <v>45047</v>
      </c>
      <c r="F325" t="str">
        <v>185 x Aptos 440W Panels, System Capacity : 81.4 , System Area : 4,335 sq ft, Annual System Output 11,117 .</v>
      </c>
      <c r="G325">
        <v>81.4</v>
      </c>
      <c r="H325" t="str">
        <v>Building Commercial</v>
      </c>
      <c r="I325">
        <v>45009</v>
      </c>
      <c r="J325">
        <v>45159</v>
      </c>
      <c r="K325" t="str">
        <v>City of Hamilton</v>
      </c>
      <c r="L325">
        <v>46874</v>
      </c>
      <c r="M325">
        <v>45138</v>
      </c>
      <c r="N325" t="str">
        <v/>
      </c>
      <c r="O325" t="str">
        <v>Yes</v>
      </c>
      <c r="P325">
        <v>32.293985</v>
      </c>
      <c r="Q325">
        <v>-64.78753</v>
      </c>
    </row>
    <row r="326" xml:space="preserve">
      <c r="A326" t="str">
        <v>B0182-23</v>
      </c>
      <c r="B326" t="str" xml:space="preserve">
        <v xml:space="preserve">14 St. Anne's Road_x000d__x000d_
Southampton, BM SN01</v>
      </c>
      <c r="C326" t="str">
        <v>Permitted Development</v>
      </c>
      <c r="D326" t="str">
        <v>Complete</v>
      </c>
      <c r="E326">
        <v>45057</v>
      </c>
      <c r="F326" t="str">
        <v xml:space="preserve">Roof Mounted Solar PV System - 275 sq ft, 14 x 365W Modules, System Capacity: 5.11 </v>
      </c>
      <c r="G326">
        <v>5.11</v>
      </c>
      <c r="H326" t="str">
        <v>Residential</v>
      </c>
      <c r="I326">
        <v>45040</v>
      </c>
      <c r="J326">
        <v>45211</v>
      </c>
      <c r="K326" t="str">
        <v>Southampton</v>
      </c>
      <c r="L326">
        <v>46883</v>
      </c>
      <c r="M326">
        <v>45147</v>
      </c>
      <c r="N326" t="str">
        <v/>
      </c>
      <c r="O326" t="str">
        <v>Yes</v>
      </c>
      <c r="P326">
        <v>32.251412</v>
      </c>
      <c r="Q326">
        <v>-64.842699</v>
      </c>
    </row>
    <row r="327" xml:space="preserve">
      <c r="A327" t="str">
        <v>B0128-23</v>
      </c>
      <c r="B327" t="str" xml:space="preserve">
        <v xml:space="preserve">10 Hexham Drive_x000d__x000d_
Hamilton, BM HS02, Bermuda</v>
      </c>
      <c r="C327" t="str">
        <v>Permitted Development</v>
      </c>
      <c r="D327" t="str">
        <v>Complete</v>
      </c>
      <c r="E327">
        <v>45057</v>
      </c>
      <c r="F327" t="str">
        <v>Installation of Roof Mounted Solar System. 15 Modules, 370W Each. 5,550 Watts Total. Module Area 18.82 sq ft, 997.46 sq ft Total,10h Battery, 5000w Continuous, 7500W peak</v>
      </c>
      <c r="G327">
        <v>5.55</v>
      </c>
      <c r="H327" t="str">
        <v>Residential</v>
      </c>
      <c r="I327">
        <v>45014</v>
      </c>
      <c r="J327">
        <v>46063</v>
      </c>
      <c r="K327" t="str">
        <v>Hamilton</v>
      </c>
      <c r="L327">
        <v>46883</v>
      </c>
      <c r="M327">
        <v>45274</v>
      </c>
      <c r="N327" t="str">
        <v/>
      </c>
      <c r="O327" t="str">
        <v>Yes</v>
      </c>
      <c r="P327">
        <v>32.328017</v>
      </c>
      <c r="Q327">
        <v>-64.705022</v>
      </c>
    </row>
    <row r="328" xml:space="preserve">
      <c r="A328" t="str">
        <v>B0175-23</v>
      </c>
      <c r="B328" t="str" xml:space="preserve">
        <v xml:space="preserve">10 WindReach Lane_x000d__x000d_
Warwick, BM WK03</v>
      </c>
      <c r="C328" t="str">
        <v>Permitted Development</v>
      </c>
      <c r="D328" t="str">
        <v>Complete</v>
      </c>
      <c r="E328">
        <v>45058</v>
      </c>
      <c r="F328" t="str">
        <v>Proposed Roof Mounted Solar PV System: 17 x 360W Panels, Total Area: 332 sq ft., System Capacity : 6.12  Output.</v>
      </c>
      <c r="G328">
        <v>6.12</v>
      </c>
      <c r="H328" t="str">
        <v>Commercial</v>
      </c>
      <c r="I328">
        <v>45035</v>
      </c>
      <c r="J328">
        <v>45461</v>
      </c>
      <c r="K328" t="str">
        <v>Warwick</v>
      </c>
      <c r="L328">
        <v>46884</v>
      </c>
      <c r="M328">
        <v>45114</v>
      </c>
      <c r="N328" t="str">
        <v/>
      </c>
      <c r="O328" t="str">
        <v>Yes</v>
      </c>
      <c r="P328">
        <v>32.262617</v>
      </c>
      <c r="Q328">
        <v>-64.810158</v>
      </c>
    </row>
    <row r="329" xml:space="preserve">
      <c r="A329" t="str">
        <v>B0183-23</v>
      </c>
      <c r="B329" t="str" xml:space="preserve">
        <v xml:space="preserve">14 Cottage Hill Road West_x000d__x000d_
Hamilton, BM CR02</v>
      </c>
      <c r="C329" t="str">
        <v>Permitted Development</v>
      </c>
      <c r="D329" t="str">
        <v>Complete</v>
      </c>
      <c r="E329">
        <v>45058</v>
      </c>
      <c r="F329" t="str">
        <v xml:space="preserve">Solar PV System: 14 Panels @ 380 W/Panel; 19.8 sq ft/panel; Total sq ft 277.2; Total System Capacity 5.32 ; Total Annual Output 7,714 </v>
      </c>
      <c r="G329">
        <v>5.32</v>
      </c>
      <c r="H329" t="str">
        <v>Residential</v>
      </c>
      <c r="I329">
        <v>45040</v>
      </c>
      <c r="J329">
        <v>45124</v>
      </c>
      <c r="K329" t="str">
        <v>Hamilton</v>
      </c>
      <c r="L329">
        <v>46884</v>
      </c>
      <c r="M329">
        <v>45114</v>
      </c>
      <c r="N329" t="str">
        <v/>
      </c>
      <c r="O329" t="str">
        <v>Yes</v>
      </c>
      <c r="P329">
        <v>32.341832</v>
      </c>
      <c r="Q329">
        <v>-64.729369</v>
      </c>
    </row>
    <row r="330" xml:space="preserve">
      <c r="A330" t="str">
        <v>B0196-23</v>
      </c>
      <c r="B330" t="str" xml:space="preserve">
        <v xml:space="preserve">166 Somerset Road_x000d__x000d_
Sandys, BM MA06</v>
      </c>
      <c r="C330" t="str">
        <v>Permitted Development</v>
      </c>
      <c r="D330" t="str">
        <v>Complete</v>
      </c>
      <c r="E330">
        <v>45058</v>
      </c>
      <c r="F330" t="str" xml:space="preserve">
        <v xml:space="preserve">Solar PV System: 26 Panels @ 405 W/Panel; 19.9 sq ft/Panel; Total sq ft 517.4; Total System Capacity 10.53 ; Total Annual Output 15,268  | Tesla Powerwall System: 2 Tesla Powerwalls @ 13.5/Powerwall; Total System Capacity 27 ; 4.48 sq ft/Powerwall; Total sq ft 8.96 _x000d__x000d_
Revised Description : Solar PV System: 26 Panels @405 w/Panel, 19.9 sq ft/Panel,  Total sq ft 517.4,  Total System Capacity 10.53 , Total Annual Output 15.268 .</v>
      </c>
      <c r="G330">
        <v>10.53</v>
      </c>
      <c r="H330" t="str">
        <v>Residential</v>
      </c>
      <c r="I330">
        <v>45049</v>
      </c>
      <c r="J330">
        <v>45958</v>
      </c>
      <c r="K330" t="str">
        <v>Sandys</v>
      </c>
      <c r="L330">
        <v>46884</v>
      </c>
      <c r="M330">
        <v>45371</v>
      </c>
      <c r="N330" t="str">
        <v/>
      </c>
      <c r="O330" t="str">
        <v>Yes</v>
      </c>
      <c r="P330">
        <v>32.28278</v>
      </c>
      <c r="Q330">
        <v>-64.873352</v>
      </c>
    </row>
    <row r="331" xml:space="preserve">
      <c r="A331" t="str">
        <v>BR0085-23</v>
      </c>
      <c r="B331" t="str" xml:space="preserve">
        <v xml:space="preserve">5 Lighthouse Hill_x000d__x000d_
St. George's, BM DD02</v>
      </c>
      <c r="C331" t="str">
        <v>Building - Residential</v>
      </c>
      <c r="D331" t="str">
        <v>Issued</v>
      </c>
      <c r="E331">
        <v>45068</v>
      </c>
      <c r="F331" t="str">
        <v>Roof Top Solar, 16 - 345W PV Modules, (5.52 ), Annual Production 6874 , Total Area 322 Square Feet. Parcel ID 27846</v>
      </c>
      <c r="G331">
        <v>5.52</v>
      </c>
      <c r="H331" t="str">
        <v>Building Residential</v>
      </c>
      <c r="I331">
        <v>45040</v>
      </c>
      <c r="J331" t="str">
        <v/>
      </c>
      <c r="K331" t="str">
        <v>St. George</v>
      </c>
      <c r="L331">
        <v>46895</v>
      </c>
      <c r="M331">
        <v>45076</v>
      </c>
      <c r="N331" t="str">
        <v/>
      </c>
      <c r="O331" t="str">
        <v>Yes</v>
      </c>
      <c r="P331">
        <v>32.3664948</v>
      </c>
      <c r="Q331">
        <v>-64.6550339</v>
      </c>
    </row>
    <row r="332" xml:space="preserve">
      <c r="A332" t="str">
        <v>B0193-23</v>
      </c>
      <c r="B332" t="str" xml:space="preserve">
        <v xml:space="preserve">11 Purvis Estate Road_x000d__x000d_
Warwick, BM WK06</v>
      </c>
      <c r="C332" t="str">
        <v>Permitted Development</v>
      </c>
      <c r="D332" t="str">
        <v>Complete</v>
      </c>
      <c r="E332">
        <v>45068</v>
      </c>
      <c r="F332" t="str" xml:space="preserve">
        <v xml:space="preserve">Solar PV System: 12 Panels @ 380 W/Panel; 19.8 sq ft/Panel; Total sq ft_x000d__x000d_
237.6; Total System Capacity 4.56 ; Total Annual Output 6,612 </v>
      </c>
      <c r="G332">
        <v>4.56</v>
      </c>
      <c r="H332" t="str">
        <v>Residential</v>
      </c>
      <c r="I332">
        <v>45048</v>
      </c>
      <c r="J332">
        <v>45114</v>
      </c>
      <c r="K332" t="str">
        <v>Warwick</v>
      </c>
      <c r="L332">
        <v>46895</v>
      </c>
      <c r="M332">
        <v>45112</v>
      </c>
      <c r="N332" t="str">
        <v/>
      </c>
      <c r="O332" t="str">
        <v>Yes</v>
      </c>
      <c r="P332">
        <v>32.269216</v>
      </c>
      <c r="Q332">
        <v>-64.80509</v>
      </c>
    </row>
    <row r="333" xml:space="preserve">
      <c r="A333" t="str">
        <v>B0108-23</v>
      </c>
      <c r="B333" t="str" xml:space="preserve">
        <v xml:space="preserve">10 Paget Close_x000d__x000d_
Paget, BM PG05</v>
      </c>
      <c r="C333" t="str">
        <v>Permitted Development</v>
      </c>
      <c r="D333" t="str">
        <v>Complete</v>
      </c>
      <c r="E333">
        <v>45070</v>
      </c>
      <c r="F333" t="str">
        <v xml:space="preserve">Roof Mounted Solar PV System - 491 sq ft, 25 X 365W Modules, System Capacity: 9.125 </v>
      </c>
      <c r="G333">
        <v>9.125</v>
      </c>
      <c r="H333" t="str">
        <v>Residential</v>
      </c>
      <c r="I333">
        <v>45000</v>
      </c>
      <c r="J333">
        <v>45154</v>
      </c>
      <c r="K333" t="str">
        <v>Paget</v>
      </c>
      <c r="L333">
        <v>46896</v>
      </c>
      <c r="M333">
        <v>45110</v>
      </c>
      <c r="N333" t="str">
        <v/>
      </c>
      <c r="O333" t="str">
        <v>Yes</v>
      </c>
      <c r="P333">
        <v>32.290828</v>
      </c>
      <c r="Q333">
        <v>-64.773388</v>
      </c>
    </row>
    <row r="334" xml:space="preserve">
      <c r="A334" t="str">
        <v>B0219-23</v>
      </c>
      <c r="B334" t="str" xml:space="preserve">
        <v xml:space="preserve">27 Melville Road_x000d__x000d_
Devonshire, BM DV07</v>
      </c>
      <c r="C334" t="str">
        <v>Permitted Development</v>
      </c>
      <c r="D334" t="str">
        <v>Complete</v>
      </c>
      <c r="E334">
        <v>45071</v>
      </c>
      <c r="F334" t="str">
        <v>Solar PV System: 18 Panels @ 405 W/Panel; 19.9 sq ft/Panel; Total sq ft 358.2; Total System Capacity 7.29 ; Total Annual Output 10,571  | Tesla Powerwall: 1 Tesla Powerwall @ 13.5/Powerwall; Total System Capacity 13.5 ; 4.48 sq ft/ Powerwall; Total sq ft 4.48</v>
      </c>
      <c r="G334">
        <v>7.29</v>
      </c>
      <c r="H334" t="str">
        <v>Residential</v>
      </c>
      <c r="I334">
        <v>45064</v>
      </c>
      <c r="J334">
        <v>45177</v>
      </c>
      <c r="K334" t="str">
        <v>Devonshire</v>
      </c>
      <c r="L334">
        <v>46897</v>
      </c>
      <c r="M334">
        <v>45176</v>
      </c>
      <c r="N334" t="str">
        <v/>
      </c>
      <c r="O334" t="str">
        <v>Yes</v>
      </c>
      <c r="P334">
        <v>32.302979</v>
      </c>
      <c r="Q334">
        <v>-64.753965</v>
      </c>
    </row>
    <row r="335" xml:space="preserve">
      <c r="A335" t="str">
        <v>B0199-23</v>
      </c>
      <c r="B335" t="str" xml:space="preserve">
        <v xml:space="preserve">3 Sonesta Drive_x000d__x000d_
Southampton, BM SN02</v>
      </c>
      <c r="C335" t="str">
        <v>Permitted Development</v>
      </c>
      <c r="D335" t="str">
        <v>Complete</v>
      </c>
      <c r="E335">
        <v>45071</v>
      </c>
      <c r="F335" t="str">
        <v>37 X Peimar 360W Panels, System Capacity : 13.32,System Area : 722 sq ft</v>
      </c>
      <c r="G335">
        <v>13.32</v>
      </c>
      <c r="H335" t="str">
        <v>Commercial</v>
      </c>
      <c r="I335">
        <v>45049</v>
      </c>
      <c r="J335">
        <v>45229</v>
      </c>
      <c r="K335" t="str">
        <v>Southampton</v>
      </c>
      <c r="L335">
        <v>46897</v>
      </c>
      <c r="M335">
        <v>45162</v>
      </c>
      <c r="N335" t="str">
        <v/>
      </c>
      <c r="O335" t="str">
        <v>Yes</v>
      </c>
      <c r="P335">
        <v>32.2495852</v>
      </c>
      <c r="Q335">
        <v>-64.8351136</v>
      </c>
    </row>
    <row r="336" xml:space="preserve">
      <c r="A336" t="str">
        <v>BC0050-23</v>
      </c>
      <c r="B336" t="str" xml:space="preserve">
        <v xml:space="preserve">14 Wesley Street_x000d__x000d_
City of Hamilton, BM HM11</v>
      </c>
      <c r="C336" t="str">
        <v>Building - Commercial</v>
      </c>
      <c r="D336" t="str">
        <v>Complete</v>
      </c>
      <c r="E336">
        <v>45076</v>
      </c>
      <c r="F336" t="str">
        <v>Proposed Roof Mounted Solar PV System: 130 X Aptos 435W Panels, 3,046 sq ft. Total Area, 56.55 h Output.</v>
      </c>
      <c r="G336">
        <v>56.55</v>
      </c>
      <c r="H336" t="str">
        <v>Building Commercial</v>
      </c>
      <c r="I336">
        <v>45035</v>
      </c>
      <c r="J336">
        <v>45159</v>
      </c>
      <c r="K336" t="str">
        <v>City of Hamilton</v>
      </c>
      <c r="L336">
        <v>46902</v>
      </c>
      <c r="M336">
        <v>45154</v>
      </c>
      <c r="N336" t="str">
        <v/>
      </c>
      <c r="O336" t="str">
        <v>Yes</v>
      </c>
      <c r="P336">
        <v>32.294522</v>
      </c>
      <c r="Q336">
        <v>-64.786809</v>
      </c>
    </row>
    <row r="337" xml:space="preserve">
      <c r="A337" t="str">
        <v>BC0126-22</v>
      </c>
      <c r="B337" t="str" xml:space="preserve">
        <v xml:space="preserve">38 Schools Drive_x000d__x000d_
Devonshire, DV02</v>
      </c>
      <c r="C337" t="str">
        <v>Building - Commercial</v>
      </c>
      <c r="D337" t="str">
        <v>Issued</v>
      </c>
      <c r="E337">
        <v>45076</v>
      </c>
      <c r="F337" t="str">
        <v>Proposed New Agricultural Services Center with Roof Mounted Solar System - 178 Modules, 4,272 Sq. Ft., System Capacity of 71.2 .</v>
      </c>
      <c r="G337">
        <v>71.2</v>
      </c>
      <c r="H337" t="str">
        <v>Building Commercial</v>
      </c>
      <c r="I337">
        <v>44862</v>
      </c>
      <c r="J337" t="str">
        <v/>
      </c>
      <c r="K337" t="str">
        <v>Devonshire</v>
      </c>
      <c r="L337">
        <v>46902</v>
      </c>
      <c r="M337" t="str">
        <v/>
      </c>
      <c r="N337" t="str">
        <v/>
      </c>
      <c r="O337" t="str">
        <v>Yes</v>
      </c>
      <c r="P337">
        <v>32.303848</v>
      </c>
      <c r="Q337">
        <v>-64.768674</v>
      </c>
    </row>
    <row r="338" xml:space="preserve">
      <c r="A338" t="str">
        <v>B0226-23</v>
      </c>
      <c r="B338" t="str" xml:space="preserve">
        <v xml:space="preserve">24 Seabright Avenue_x000d__x000d_
Paget, BM DV04</v>
      </c>
      <c r="C338" t="str">
        <v>Permitted Development</v>
      </c>
      <c r="D338" t="str">
        <v>Complete</v>
      </c>
      <c r="E338">
        <v>45076</v>
      </c>
      <c r="F338" t="str">
        <v>Roof Mounted Solar PV System. 15 330w Modules. Total Watts, 4950. Module Area 18.89sf ea. Total Area, 283.35sf.  1 10k Battery. Estimated Annual Yield, 7150 .</v>
      </c>
      <c r="G338">
        <v>4.95</v>
      </c>
      <c r="H338" t="str">
        <v>Residential</v>
      </c>
      <c r="I338">
        <v>45069</v>
      </c>
      <c r="J338">
        <v>45133</v>
      </c>
      <c r="K338" t="str">
        <v>Paget</v>
      </c>
      <c r="L338">
        <v>46902</v>
      </c>
      <c r="M338">
        <v>45127</v>
      </c>
      <c r="N338" t="str">
        <v/>
      </c>
      <c r="O338" t="str">
        <v>Yes</v>
      </c>
      <c r="P338">
        <v>32.287813</v>
      </c>
      <c r="Q338">
        <v>-64.7619</v>
      </c>
    </row>
    <row r="339" xml:space="preserve">
      <c r="A339" t="str">
        <v>B0234-23</v>
      </c>
      <c r="B339" t="str" xml:space="preserve">
        <v xml:space="preserve">100 Harbour Road_x000d__x000d_
Paget, BM PG05</v>
      </c>
      <c r="C339" t="str">
        <v>Permitted Development</v>
      </c>
      <c r="D339" t="str">
        <v>Complete</v>
      </c>
      <c r="E339">
        <v>45082</v>
      </c>
      <c r="F339" t="str">
        <v xml:space="preserve">Roof Mounted Solar PV System - 511 sq ft, 26 x 365W Modules, System Capacity: 9.49 </v>
      </c>
      <c r="G339">
        <v>9.49</v>
      </c>
      <c r="H339" t="str">
        <v>Residential</v>
      </c>
      <c r="I339">
        <v>45070</v>
      </c>
      <c r="J339">
        <v>45238</v>
      </c>
      <c r="K339" t="str">
        <v>Paget</v>
      </c>
      <c r="L339">
        <v>46909</v>
      </c>
      <c r="M339">
        <v>45236</v>
      </c>
      <c r="N339" t="str">
        <v/>
      </c>
      <c r="O339" t="str">
        <v>Yes</v>
      </c>
      <c r="P339">
        <v>32.287261</v>
      </c>
      <c r="Q339">
        <v>-64.780805</v>
      </c>
    </row>
    <row r="340" xml:space="preserve">
      <c r="A340" t="str">
        <v>B0236-23</v>
      </c>
      <c r="B340" t="str" xml:space="preserve">
        <v xml:space="preserve">15 Ocean Sands Road_x000d__x000d_
Warwick, BM WK02</v>
      </c>
      <c r="C340" t="str">
        <v>Permitted Development</v>
      </c>
      <c r="D340" t="str">
        <v>Complete</v>
      </c>
      <c r="E340">
        <v>45082</v>
      </c>
      <c r="F340" t="str">
        <v xml:space="preserve">Roof Mounted Solar PV System - 373 sq ft, 19 x 365W Modules, System Capacity: 6.935 </v>
      </c>
      <c r="G340">
        <v>6.935</v>
      </c>
      <c r="H340" t="str">
        <v>Residential</v>
      </c>
      <c r="I340">
        <v>45071</v>
      </c>
      <c r="J340">
        <v>45154</v>
      </c>
      <c r="K340" t="str">
        <v>Warwick</v>
      </c>
      <c r="L340">
        <v>46909</v>
      </c>
      <c r="M340">
        <v>45148</v>
      </c>
      <c r="N340" t="str">
        <v/>
      </c>
      <c r="O340" t="str">
        <v>Yes</v>
      </c>
      <c r="P340">
        <v>32.2593908</v>
      </c>
      <c r="Q340">
        <v>-64.8108396</v>
      </c>
    </row>
    <row r="341" xml:space="preserve">
      <c r="A341" t="str">
        <v>B0244-23</v>
      </c>
      <c r="B341" t="str" xml:space="preserve">
        <v xml:space="preserve">5 Seabright Lane_x000d__x000d_
Paget, BM DV04</v>
      </c>
      <c r="C341" t="str">
        <v>Permitted Development</v>
      </c>
      <c r="D341" t="str">
        <v>Complete</v>
      </c>
      <c r="E341">
        <v>45082</v>
      </c>
      <c r="F341" t="str">
        <v xml:space="preserve">Roof Mounted Solar PV System - 628 sq ft, 32 x 365W Modules, System Capacity: 11.68  </v>
      </c>
      <c r="G341">
        <v>11.68</v>
      </c>
      <c r="H341" t="str">
        <v>Residential</v>
      </c>
      <c r="I341">
        <v>45077</v>
      </c>
      <c r="J341">
        <v>45168</v>
      </c>
      <c r="K341" t="str">
        <v>Paget</v>
      </c>
      <c r="L341">
        <v>46909</v>
      </c>
      <c r="M341">
        <v>45160</v>
      </c>
      <c r="N341" t="str">
        <v/>
      </c>
      <c r="O341" t="str">
        <v>Yes</v>
      </c>
      <c r="P341">
        <v>32.288749</v>
      </c>
      <c r="Q341">
        <v>-64.760913</v>
      </c>
    </row>
    <row r="342" xml:space="preserve">
      <c r="A342" t="str">
        <v>B0233-23</v>
      </c>
      <c r="B342" t="str" xml:space="preserve">
        <v xml:space="preserve">18 Farmer's Lane_x000d__x000d_
Warwick, BM WK04</v>
      </c>
      <c r="C342" t="str">
        <v>Permitted Development</v>
      </c>
      <c r="D342" t="str">
        <v>Complete</v>
      </c>
      <c r="E342">
        <v>45082</v>
      </c>
      <c r="F342" t="str">
        <v xml:space="preserve">Solar PV System: 15 Panels @ 380 W/Panel; 19.8 sq ft/Panel; Total sq ft 297; Total System Capacity 5.70 ; Total Annual Output 8,265 </v>
      </c>
      <c r="G342">
        <v>5.7</v>
      </c>
      <c r="H342" t="str">
        <v>Residential</v>
      </c>
      <c r="I342">
        <v>45070</v>
      </c>
      <c r="J342">
        <v>45154</v>
      </c>
      <c r="K342" t="str">
        <v>Warwick</v>
      </c>
      <c r="L342">
        <v>46909</v>
      </c>
      <c r="M342">
        <v>45149</v>
      </c>
      <c r="N342" t="str">
        <v/>
      </c>
      <c r="O342" t="str">
        <v>Yes</v>
      </c>
      <c r="P342">
        <v>32.265717</v>
      </c>
      <c r="Q342">
        <v>-64.815889</v>
      </c>
    </row>
    <row r="343" xml:space="preserve">
      <c r="A343" t="str">
        <v>B0239-23</v>
      </c>
      <c r="B343" t="str" xml:space="preserve">
        <v xml:space="preserve">13 Witchery Lane_x000d__x000d_
Warwick, BM WK08</v>
      </c>
      <c r="C343" t="str">
        <v>Permitted Development</v>
      </c>
      <c r="D343" t="str">
        <v>Complete</v>
      </c>
      <c r="E343">
        <v>45082</v>
      </c>
      <c r="F343" t="str">
        <v xml:space="preserve">Roof Mounted Solar PV System - 275 sq ft, 14 x 365W Modules, System Capacity: 5.11 </v>
      </c>
      <c r="G343">
        <v>5.11</v>
      </c>
      <c r="H343" t="str">
        <v>Residential</v>
      </c>
      <c r="I343">
        <v>45075</v>
      </c>
      <c r="J343">
        <v>45168</v>
      </c>
      <c r="K343" t="str">
        <v>Warwick</v>
      </c>
      <c r="L343">
        <v>46909</v>
      </c>
      <c r="M343">
        <v>45153</v>
      </c>
      <c r="N343" t="str">
        <v/>
      </c>
      <c r="O343" t="str">
        <v>Yes</v>
      </c>
      <c r="P343">
        <v>32.269771</v>
      </c>
      <c r="Q343">
        <v>-64.798931</v>
      </c>
    </row>
    <row r="344" xml:space="preserve">
      <c r="A344" t="str">
        <v>B0241-23</v>
      </c>
      <c r="B344" t="str" xml:space="preserve">
        <v xml:space="preserve">19 Jennings Road_x000d__x000d_
Smiths, BM FL04</v>
      </c>
      <c r="C344" t="str">
        <v>Permitted Development</v>
      </c>
      <c r="D344" t="str">
        <v>Complete</v>
      </c>
      <c r="E344">
        <v>45082</v>
      </c>
      <c r="F344" t="str">
        <v>Roof Mounted Solar PV System - 255 sq ft, 13 x 370W Modules, System Capacity: 4.81  Wall Mounted Battery System - 10  *Revision 1: addition of Aluminum rail glide, attached to PV modules to assist with water collection</v>
      </c>
      <c r="G344">
        <v>4.81</v>
      </c>
      <c r="H344" t="str">
        <v>Residential</v>
      </c>
      <c r="I344">
        <v>45076</v>
      </c>
      <c r="J344">
        <v>45370</v>
      </c>
      <c r="K344" t="str">
        <v>Smiths</v>
      </c>
      <c r="L344">
        <v>46909</v>
      </c>
      <c r="M344">
        <v>45328</v>
      </c>
      <c r="N344" t="str">
        <v/>
      </c>
      <c r="O344" t="str">
        <v>Yes</v>
      </c>
      <c r="P344">
        <v>32.318315</v>
      </c>
      <c r="Q344">
        <v>-64.738728</v>
      </c>
    </row>
    <row r="345" xml:space="preserve">
      <c r="A345" t="str">
        <v>B0237-23</v>
      </c>
      <c r="B345" t="str" xml:space="preserve">
        <v xml:space="preserve">31 Harrington Sound Road_x000d__x000d_
Hamilton, HS02, Bermuda</v>
      </c>
      <c r="C345" t="str">
        <v>Permitted Development</v>
      </c>
      <c r="D345" t="str">
        <v>Complete</v>
      </c>
      <c r="E345">
        <v>45082</v>
      </c>
      <c r="F345" t="str">
        <v>Solar PV System: 36 Panels @ 380 W/Panel (24) and 220 W/Panel (12); 20 sq ft/Panel; Total sq ft 715.2; Total System Capacity 11.76 ; Total Annual Output 17,052  | 2 Tesla Powerwall's @ 13.5 /Powerwall; Total System Capacity 27 ; 4.48 sq ft/ Powerwall; Total sq ft 8.92 *Note: Two Different Models of Solar Panels Will Be Used to Make Up This System *Revision 1: Revision: 12 panels from south array moved to west array. Panel size and system size increased. Solar PV System: 36 Panels @ 420 W/Panel (24) and 220 W/Panel (12); 20 sq ft/Panel; Total sq ft 739.2; Total System Capacity 12.72 ; Total Annual Output 18,444  | 2 Tesla Powerwall's @ 13.5 /Powerwall; Total System Capacity 27 ; 4.48 sq ft/ Powerwall; Total sq ft 8.92 *Note: Two Different Models of Solar Panels Will Be Used to Make Up This System.     *Revision (3) Revision 2: Roof-mounted 24 Panels @ 420 W/Panel; 20.8 sq ft/Panel; Total sq ft 499.2; Total DC Output 10.08 ; Total AC Output 8.64 ; Annual Output 14,616 h | Tesla Powerwall: 2 Tesla Powerwall3 @ 13.5 / Powerwall; Total System Capacity 27 ; 4.57 sq ft/ Powerwall; Total sq ft 9.14.      *Removed 12 white panels and upgraded battery storage. Revision 3:  Solar PV System: 24 Panels @ 420 W/Panel (24) and 220 W/Panel (12); 20 sq ft/Panel; Total sq ft 739.2; Total System Capacity 12.72 ; Total Annual Output 18,444 | 2 Tesla Powerwall's @ 13.5 /Powerwall; Total System Capacity 27 ; 4.57 sq ft/ Powerwall; Total sq ft 9.14  *Note: Two Different Models of Solar Panels Will Be Used to Make Up This System</v>
      </c>
      <c r="G345">
        <v>21.4</v>
      </c>
      <c r="H345" t="str">
        <v>Residential</v>
      </c>
      <c r="I345">
        <v>45071</v>
      </c>
      <c r="J345">
        <v>46070</v>
      </c>
      <c r="K345" t="str">
        <v>Bermuda</v>
      </c>
      <c r="L345">
        <v>46909</v>
      </c>
      <c r="M345">
        <v>46065</v>
      </c>
      <c r="N345" t="str">
        <v/>
      </c>
      <c r="O345" t="str">
        <v>Yes</v>
      </c>
      <c r="P345">
        <v>32.336144</v>
      </c>
      <c r="Q345">
        <v>-64.705058</v>
      </c>
    </row>
    <row r="346" xml:space="preserve">
      <c r="A346" t="str">
        <v>B0256-23</v>
      </c>
      <c r="B346" t="str" xml:space="preserve">
        <v xml:space="preserve">18 Farmer's Lane_x000d__x000d_
Warwick, BM WK04</v>
      </c>
      <c r="C346" t="str">
        <v>Permitted Development</v>
      </c>
      <c r="D346" t="str">
        <v>Complete</v>
      </c>
      <c r="E346">
        <v>45086</v>
      </c>
      <c r="F346" t="str">
        <v xml:space="preserve">Solar PV System: 15 Panels @ 380 W/Panel; 19.8 sq ft/Panel; Total sq ft 297; Total System Capacity 5.70 ; Total Annual Output 8,265 </v>
      </c>
      <c r="G346">
        <v>5.7</v>
      </c>
      <c r="H346" t="str">
        <v>Residential</v>
      </c>
      <c r="I346">
        <v>45083</v>
      </c>
      <c r="J346">
        <v>45134</v>
      </c>
      <c r="K346" t="str">
        <v>Warwick</v>
      </c>
      <c r="L346">
        <v>46912</v>
      </c>
      <c r="M346">
        <v>45128</v>
      </c>
      <c r="N346" t="str">
        <v/>
      </c>
      <c r="O346" t="str">
        <v>Yes</v>
      </c>
      <c r="P346">
        <v>32.265717</v>
      </c>
      <c r="Q346">
        <v>-64.815889</v>
      </c>
    </row>
    <row r="347" xml:space="preserve">
      <c r="A347" t="str">
        <v>BR0092-23</v>
      </c>
      <c r="B347" t="str" xml:space="preserve">
        <v xml:space="preserve">11 Somerset Road_x000d__x000d_
Sandys, BM MA03, Bermuda</v>
      </c>
      <c r="C347" t="str">
        <v>Building - Residential</v>
      </c>
      <c r="D347" t="str">
        <v>Complete</v>
      </c>
      <c r="E347">
        <v>45090</v>
      </c>
      <c r="F347" t="str">
        <v>Proposed Roof Mounted Solar PV System on Accessory Shed: 14x365W Panels, 275 sq. ft., System Capacity: 5.11  (Listed Building Site)</v>
      </c>
      <c r="G347">
        <v>5.11</v>
      </c>
      <c r="H347" t="str">
        <v>Building Residential</v>
      </c>
      <c r="I347">
        <v>45051</v>
      </c>
      <c r="J347">
        <v>45154</v>
      </c>
      <c r="K347" t="str">
        <v>Sandys</v>
      </c>
      <c r="L347">
        <v>46916</v>
      </c>
      <c r="M347">
        <v>45135</v>
      </c>
      <c r="N347" t="str">
        <v/>
      </c>
      <c r="O347" t="str">
        <v>Yes</v>
      </c>
      <c r="P347">
        <v>32.28898</v>
      </c>
      <c r="Q347">
        <v>-64.8743</v>
      </c>
    </row>
    <row r="348" xml:space="preserve">
      <c r="A348" t="str">
        <v>B0247-23</v>
      </c>
      <c r="B348" t="str" xml:space="preserve">
        <v xml:space="preserve">3 Kilderry Close_x000d__x000d_
Smiths, BM FL02</v>
      </c>
      <c r="C348" t="str">
        <v>Permitted Development</v>
      </c>
      <c r="D348" t="str">
        <v>Complete</v>
      </c>
      <c r="E348">
        <v>45090</v>
      </c>
      <c r="F348" t="str">
        <v>Solar PV System: 12 Panels @ 405 W/Panel; 19.9 sq ft/Panel; Total sq ft 238.8; Total System Capacity 4.86 ; Total Annual Output 7,047  | 1 Tesla Powerwall @ 13.5 / Powerwall; Total System Capacity 13.5 ; 4.48 sq ft/ Powerwall; Total sq ft 4.48</v>
      </c>
      <c r="G348">
        <v>4.86</v>
      </c>
      <c r="H348" t="str">
        <v>Residential</v>
      </c>
      <c r="I348">
        <v>45078</v>
      </c>
      <c r="J348">
        <v>45155</v>
      </c>
      <c r="K348" t="str">
        <v>Smiths</v>
      </c>
      <c r="L348">
        <v>46916</v>
      </c>
      <c r="M348">
        <v>45140</v>
      </c>
      <c r="N348" t="str">
        <v/>
      </c>
      <c r="O348" t="str">
        <v>Yes</v>
      </c>
      <c r="P348">
        <v>32.311464</v>
      </c>
      <c r="Q348">
        <v>-64.745214</v>
      </c>
    </row>
    <row r="349" xml:space="preserve">
      <c r="A349" t="str">
        <v>B0172-23</v>
      </c>
      <c r="B349" t="str" xml:space="preserve">
        <v xml:space="preserve">9 Happy Talk Drive_x000d__x000d_
Paget, BM DV04</v>
      </c>
      <c r="C349" t="str">
        <v>Permitted Development</v>
      </c>
      <c r="D349" t="str">
        <v>Complete</v>
      </c>
      <c r="E349">
        <v>45091</v>
      </c>
      <c r="F349" t="str">
        <v xml:space="preserve">Roof Mounted Solar PV System - 78 sq ft, 4 x 360W Modules, System Capacity: 1.44 </v>
      </c>
      <c r="G349">
        <v>1.44</v>
      </c>
      <c r="H349" t="str">
        <v>Residential</v>
      </c>
      <c r="I349">
        <v>45035</v>
      </c>
      <c r="J349">
        <v>45166</v>
      </c>
      <c r="K349" t="str">
        <v>Paget</v>
      </c>
      <c r="L349">
        <v>46917</v>
      </c>
      <c r="M349">
        <v>45155</v>
      </c>
      <c r="N349" t="str">
        <v/>
      </c>
      <c r="O349" t="str">
        <v>Yes</v>
      </c>
      <c r="P349">
        <v>32.2925521</v>
      </c>
      <c r="Q349">
        <v>-64.7578132</v>
      </c>
    </row>
    <row r="350" xml:space="preserve">
      <c r="A350" t="str">
        <v>B0253-23</v>
      </c>
      <c r="B350" t="str" xml:space="preserve">
        <v xml:space="preserve">1 Garthowen Road_x000d__x000d_
Devonshire, BM DV07</v>
      </c>
      <c r="C350" t="str">
        <v>Permitted Development</v>
      </c>
      <c r="D350" t="str">
        <v>Complete</v>
      </c>
      <c r="E350">
        <v>45098</v>
      </c>
      <c r="F350" t="str" xml:space="preserve">
        <v xml:space="preserve">Solar PV System: 20 Panels @ 405 W/Panel; 19.9 sq ft/Panel; Total sq ft 398; Total System Capacity 8.10 ; Total Annual Output 11,745 ._x000d__x000d_
Update: Solar PV System: 20 panels @ 405 W/panel; 19.9 sq ft/panel; Total sq ft 398; Total system capacity 8.10 ; Total annual output 11,745 h | _x000d__x000d_
Tesla Powerwall: 1 Tesla Powerwall @ 13.5 ; Total system capacity 13.5 W; 4.46 sq ft/Powerwall; Total sq ft 4.46</v>
      </c>
      <c r="G350">
        <v>8.1</v>
      </c>
      <c r="H350" t="str">
        <v>Residential</v>
      </c>
      <c r="I350">
        <v>45082</v>
      </c>
      <c r="J350">
        <v>45188</v>
      </c>
      <c r="K350" t="str">
        <v>Devonshire</v>
      </c>
      <c r="L350">
        <v>46924</v>
      </c>
      <c r="M350">
        <v>45187</v>
      </c>
      <c r="N350" t="str">
        <v/>
      </c>
      <c r="O350" t="str">
        <v>Yes</v>
      </c>
      <c r="P350">
        <v>32.300223</v>
      </c>
      <c r="Q350">
        <v>-64.757002</v>
      </c>
    </row>
    <row r="351" xml:space="preserve">
      <c r="A351" t="str">
        <v>BR0114-23</v>
      </c>
      <c r="B351" t="str" xml:space="preserve">
        <v xml:space="preserve">10 Sunset Pass_x000d__x000d_
Pembroke, BM HM03</v>
      </c>
      <c r="C351" t="str">
        <v>Building - Residential</v>
      </c>
      <c r="D351" t="str">
        <v>Complete</v>
      </c>
      <c r="E351">
        <v>45098</v>
      </c>
      <c r="F351" t="str">
        <v>Solar PV System: 14 Panels @ 380W/panel, Total 277.2 sq. ft. ; Total System Capacity 5.32 ; Total Annual Output 7,714 , Tesla Powerwall: 1 Tesla Powerwall @ 13.5; Total System Capacity 13.5 ; 4.48 sq. ft., Powerwall; Total sq ft 4.48.</v>
      </c>
      <c r="G351">
        <v>5.32</v>
      </c>
      <c r="H351" t="str">
        <v>Building Residential</v>
      </c>
      <c r="I351">
        <v>45075</v>
      </c>
      <c r="J351">
        <v>45188</v>
      </c>
      <c r="K351" t="str">
        <v>Pembroke</v>
      </c>
      <c r="L351">
        <v>46924</v>
      </c>
      <c r="M351">
        <v>45187</v>
      </c>
      <c r="N351" t="str">
        <v/>
      </c>
      <c r="O351" t="str">
        <v>Yes</v>
      </c>
      <c r="P351">
        <v>32.303824</v>
      </c>
      <c r="Q351">
        <v>-64.800999</v>
      </c>
    </row>
    <row r="352" xml:space="preserve">
      <c r="A352" t="str">
        <v>B0259-23</v>
      </c>
      <c r="B352" t="str" xml:space="preserve">
        <v xml:space="preserve">2 Hidden Cove Lane_x000d__x000d_
Hamilton, BM CR04</v>
      </c>
      <c r="C352" t="str">
        <v>Permitted Development</v>
      </c>
      <c r="D352" t="str">
        <v>Complete</v>
      </c>
      <c r="E352">
        <v>45099</v>
      </c>
      <c r="F352" t="str">
        <v xml:space="preserve">Solar PV System: 20 Panels @ 405 W/Panel; 19.9 sq ft/Panel; Total sq ft 398; Total System Capacity 8.1 ; Total Annual Output 11,745  *Revision 1: Solar PV System: 20 Panels @ 405 W/Panel; 19.9 sq ft/Panel; Total sq ft 398; Total System Capacity 8.1 ; Total Annual Output 11,745 </v>
      </c>
      <c r="G352">
        <v>8.1</v>
      </c>
      <c r="H352" t="str">
        <v>Residential</v>
      </c>
      <c r="I352">
        <v>45085</v>
      </c>
      <c r="J352">
        <v>45237</v>
      </c>
      <c r="K352" t="str">
        <v>Hamilton</v>
      </c>
      <c r="L352">
        <v>46925</v>
      </c>
      <c r="M352">
        <v>45229</v>
      </c>
      <c r="N352" t="str">
        <v/>
      </c>
      <c r="O352" t="str">
        <v>Yes</v>
      </c>
      <c r="P352">
        <v>32.343812</v>
      </c>
      <c r="Q352">
        <v>-64.709815</v>
      </c>
    </row>
    <row r="353" xml:space="preserve">
      <c r="A353" t="str">
        <v>BR0108-23</v>
      </c>
      <c r="B353" t="str" xml:space="preserve">
        <v xml:space="preserve">19 Stowe Hill_x000d__x000d_
Paget, BM PG05</v>
      </c>
      <c r="C353" t="str">
        <v>Building - Residential</v>
      </c>
      <c r="D353" t="str">
        <v>Complete</v>
      </c>
      <c r="E353">
        <v>45099</v>
      </c>
      <c r="F353" t="str">
        <v xml:space="preserve">Solar PV System: 4 Panels @ 435 W/Panel; 21.4 sq ft/Panel; Total sq ft 85.6; Total System Capacity 1.74 ; Total Annual Output 2,523 </v>
      </c>
      <c r="G353">
        <v>1.74</v>
      </c>
      <c r="H353" t="str">
        <v>Building Residential</v>
      </c>
      <c r="I353">
        <v>45068</v>
      </c>
      <c r="J353">
        <v>45120</v>
      </c>
      <c r="K353" t="str">
        <v>Paget</v>
      </c>
      <c r="L353">
        <v>46925</v>
      </c>
      <c r="M353">
        <v>45120</v>
      </c>
      <c r="N353" t="str">
        <v/>
      </c>
      <c r="O353" t="str">
        <v>Yes</v>
      </c>
      <c r="P353">
        <v>32.2879876</v>
      </c>
      <c r="Q353">
        <v>-64.7724496</v>
      </c>
    </row>
    <row r="354" xml:space="preserve">
      <c r="A354" t="str">
        <v>B0224-23</v>
      </c>
      <c r="B354" t="str" xml:space="preserve">
        <v xml:space="preserve">11 Beaming Hill_x000d__x000d_
Southampton, BM SN02</v>
      </c>
      <c r="C354" t="str">
        <v>Permitted Development</v>
      </c>
      <c r="D354" t="str">
        <v>Complete</v>
      </c>
      <c r="E354">
        <v>45104</v>
      </c>
      <c r="F354" t="str">
        <v>Roof Mounted Solar PV System.  20, 325W Modules. Total 6500W. Module Area, 18.82sf, Total Area, 376.4sf. 1, 10 Battery. Estimated Annual Yield, 10,004h.</v>
      </c>
      <c r="G354">
        <v>6.5</v>
      </c>
      <c r="H354" t="str">
        <v>Residential</v>
      </c>
      <c r="I354">
        <v>45068</v>
      </c>
      <c r="J354">
        <v>45159</v>
      </c>
      <c r="K354" t="str">
        <v>Southampton</v>
      </c>
      <c r="L354">
        <v>46930</v>
      </c>
      <c r="M354">
        <v>45154</v>
      </c>
      <c r="N354" t="str">
        <v/>
      </c>
      <c r="O354" t="str">
        <v>Yes</v>
      </c>
      <c r="P354">
        <v>32.251342</v>
      </c>
      <c r="Q354">
        <v>-64.832234</v>
      </c>
    </row>
    <row r="355" xml:space="preserve">
      <c r="A355" t="str">
        <v>B0120-23</v>
      </c>
      <c r="B355" t="str" xml:space="preserve">
        <v xml:space="preserve">43 Malabar Road_x000d__x000d_
Sandys, BM MA01</v>
      </c>
      <c r="C355" t="str">
        <v>Permitted Development</v>
      </c>
      <c r="D355" t="str">
        <v>Complete</v>
      </c>
      <c r="E355">
        <v>45107</v>
      </c>
      <c r="F355" t="str">
        <v>17 X Aptos 365W Panels, System Capacity : 6.205 , System Area : 334 sqft</v>
      </c>
      <c r="G355">
        <v>6.205</v>
      </c>
      <c r="H355" t="str">
        <v>Commercial</v>
      </c>
      <c r="I355">
        <v>45009</v>
      </c>
      <c r="J355">
        <v>45166</v>
      </c>
      <c r="K355" t="str">
        <v>Sandys</v>
      </c>
      <c r="L355">
        <v>46933</v>
      </c>
      <c r="M355">
        <v>45153</v>
      </c>
      <c r="N355" t="str">
        <v/>
      </c>
      <c r="O355" t="str">
        <v>Yes</v>
      </c>
      <c r="P355">
        <v>32.3059488</v>
      </c>
      <c r="Q355">
        <v>-64.8559664</v>
      </c>
    </row>
    <row r="356" xml:space="preserve">
      <c r="A356" t="str">
        <v>B0275-23</v>
      </c>
      <c r="B356" t="str" xml:space="preserve">
        <v xml:space="preserve">6 Mill Reach Lane_x000d__x000d_
Pembroke, BM HM05</v>
      </c>
      <c r="C356" t="str">
        <v>Permitted Development</v>
      </c>
      <c r="D356" t="str">
        <v>Complete</v>
      </c>
      <c r="E356">
        <v>45117</v>
      </c>
      <c r="F356" t="str">
        <v xml:space="preserve">Proposed Roof Mounted Solar System. 39 Modules @ 490W/module 19.11 DC, 983.58 sq ft, Estimated annual Yield: 25,798 </v>
      </c>
      <c r="G356">
        <v>19.11</v>
      </c>
      <c r="H356" t="str">
        <v>Commercial</v>
      </c>
      <c r="I356">
        <v>45098</v>
      </c>
      <c r="J356">
        <v>45618</v>
      </c>
      <c r="K356" t="str">
        <v>Pembroke</v>
      </c>
      <c r="L356">
        <v>46944</v>
      </c>
      <c r="M356">
        <v>45576</v>
      </c>
      <c r="N356" t="str">
        <v/>
      </c>
      <c r="O356" t="str">
        <v>Yes</v>
      </c>
      <c r="P356">
        <v>32.299117</v>
      </c>
      <c r="Q356">
        <v>-64.799605</v>
      </c>
    </row>
    <row r="357" xml:space="preserve">
      <c r="A357" t="str">
        <v>BR0112-23</v>
      </c>
      <c r="B357" t="str" xml:space="preserve">
        <v xml:space="preserve">34 East Shore Road_x000d__x000d_
Sandys, BM MA02, Bermuda</v>
      </c>
      <c r="C357" t="str">
        <v>Building - Residential</v>
      </c>
      <c r="D357" t="str">
        <v>Issued</v>
      </c>
      <c r="E357">
        <v>45119</v>
      </c>
      <c r="F357" t="str">
        <v>Addition to Existing Pool House to Create Additional, 1 Bedroom Dwelling, Roof Mount Solar Panels 220 sq.ft. 11 Panels @370 Watts Per Panel System Capacity 4.07. Rock Cut 5'-6" inches High with 3 Foot Guard Rail New Parking. *Revision 1: Building Inspector Requested Drawings for Wall. All Drawings are in Accordance with the 2014 BDA. RES. BLD. Code. Retaining Wall.  Construction Type 3. Section 5.9. Fence Approval BR0112-23.</v>
      </c>
      <c r="G357">
        <v>4.07</v>
      </c>
      <c r="H357" t="str">
        <v>Building Residential</v>
      </c>
      <c r="I357">
        <v>45070</v>
      </c>
      <c r="J357">
        <v>45387</v>
      </c>
      <c r="K357" t="str">
        <v>Sandys</v>
      </c>
      <c r="L357">
        <v>46945</v>
      </c>
      <c r="M357">
        <v>45371</v>
      </c>
      <c r="N357" t="str">
        <v/>
      </c>
      <c r="O357" t="str">
        <v>Yes</v>
      </c>
      <c r="P357">
        <v>32.300961</v>
      </c>
      <c r="Q357">
        <v>-64.862536</v>
      </c>
    </row>
    <row r="358" xml:space="preserve">
      <c r="A358" t="str">
        <v>B0300-23</v>
      </c>
      <c r="B358" t="str" xml:space="preserve">
        <v xml:space="preserve">10 Halfway Lane_x000d__x000d_
Smiths, BM FL08</v>
      </c>
      <c r="C358" t="str">
        <v>Permitted Development</v>
      </c>
      <c r="D358" t="str">
        <v>Complete</v>
      </c>
      <c r="E358">
        <v>45120</v>
      </c>
      <c r="F358" t="str">
        <v>Roof Mounted Solar PV System - 491 sq ft. 25 x 370W Modules. System Capacity: 9.25 *Revision 1: relocation of panels onto newly constructed roof - same system details as previous</v>
      </c>
      <c r="G358">
        <v>9.25</v>
      </c>
      <c r="H358" t="str">
        <v>Residential</v>
      </c>
      <c r="I358">
        <v>45114</v>
      </c>
      <c r="J358">
        <v>45303</v>
      </c>
      <c r="K358" t="str">
        <v>Smiths</v>
      </c>
      <c r="L358">
        <v>46946</v>
      </c>
      <c r="M358">
        <v>45301</v>
      </c>
      <c r="N358" t="str">
        <v/>
      </c>
      <c r="O358" t="str">
        <v>Yes</v>
      </c>
      <c r="P358">
        <v>32.314631</v>
      </c>
      <c r="Q358">
        <v>-64.722148</v>
      </c>
    </row>
    <row r="359" xml:space="preserve">
      <c r="A359" t="str">
        <v>B0289-23</v>
      </c>
      <c r="B359" t="str" xml:space="preserve">
        <v xml:space="preserve">11 Seabright Lane_x000d__x000d_
Paget, BM DV04</v>
      </c>
      <c r="C359" t="str">
        <v>Permitted Development</v>
      </c>
      <c r="D359" t="str">
        <v>Complete</v>
      </c>
      <c r="E359">
        <v>45120</v>
      </c>
      <c r="F359" t="str">
        <v>Roof Mounted Solar PV System - 354 sq ft, 18 X 370W Modules, System Capacity: 6.66</v>
      </c>
      <c r="G359">
        <v>6.66</v>
      </c>
      <c r="H359" t="str">
        <v>Residential</v>
      </c>
      <c r="I359">
        <v>45111</v>
      </c>
      <c r="J359">
        <v>45184</v>
      </c>
      <c r="K359" t="str">
        <v>Paget</v>
      </c>
      <c r="L359">
        <v>46946</v>
      </c>
      <c r="M359">
        <v>45177</v>
      </c>
      <c r="N359" t="str">
        <v/>
      </c>
      <c r="O359" t="str">
        <v>Yes</v>
      </c>
      <c r="P359">
        <v>32.288622</v>
      </c>
      <c r="Q359">
        <v>-64.7612006</v>
      </c>
    </row>
    <row r="360" xml:space="preserve">
      <c r="A360" t="str">
        <v>BR0128-23</v>
      </c>
      <c r="B360" t="str" xml:space="preserve">
        <v xml:space="preserve">4 Southcote Road_x000d__x000d_
Paget, BM PG04</v>
      </c>
      <c r="C360" t="str">
        <v>Building - Residential</v>
      </c>
      <c r="D360" t="str">
        <v>Complete</v>
      </c>
      <c r="E360">
        <v>45125</v>
      </c>
      <c r="F360" t="str" xml:space="preserve">
        <v xml:space="preserve">Solar PV System: 14 Panels @ 380 W/Panels; 19.8 sq ft/Panel; Total sq ft 277.2; Total System Capacity 5.32 ; Total Annual Output 7,714 _x000d__x000d_
(Note: Building Only from P0052-23)</v>
      </c>
      <c r="G360">
        <v>5.32</v>
      </c>
      <c r="H360" t="str">
        <v>Building Residential</v>
      </c>
      <c r="I360">
        <v>45098</v>
      </c>
      <c r="J360">
        <v>45274</v>
      </c>
      <c r="K360" t="str">
        <v>Paget</v>
      </c>
      <c r="L360">
        <v>46951</v>
      </c>
      <c r="M360">
        <v>45272</v>
      </c>
      <c r="N360" t="str">
        <v/>
      </c>
      <c r="O360" t="str">
        <v>Yes</v>
      </c>
      <c r="P360">
        <v>32.277841</v>
      </c>
      <c r="Q360">
        <v>-64.781579</v>
      </c>
    </row>
    <row r="361" xml:space="preserve">
      <c r="A361" t="str">
        <v>B0283-23</v>
      </c>
      <c r="B361" t="str" xml:space="preserve">
        <v xml:space="preserve">30 South Road_x000d__x000d_
Hamilton, BM HS02</v>
      </c>
      <c r="C361" t="str">
        <v>Permitted Development</v>
      </c>
      <c r="D361" t="str">
        <v>Complete</v>
      </c>
      <c r="E361">
        <v>45127</v>
      </c>
      <c r="F361" t="str">
        <v>Install 12 370w Panels with a 3.8k inverter. Total Power; 4,440w, Total area 235.8sf. Yearly Yield Estimate: 6190h</v>
      </c>
      <c r="G361">
        <v>4.44</v>
      </c>
      <c r="H361" t="str">
        <v>Residential</v>
      </c>
      <c r="I361">
        <v>45105</v>
      </c>
      <c r="J361">
        <v>45314</v>
      </c>
      <c r="K361" t="str">
        <v>Hamilton</v>
      </c>
      <c r="L361">
        <v>46953</v>
      </c>
      <c r="M361">
        <v>45294</v>
      </c>
      <c r="N361" t="str">
        <v/>
      </c>
      <c r="O361" t="str">
        <v>Yes</v>
      </c>
      <c r="P361">
        <v>32.327784</v>
      </c>
      <c r="Q361">
        <v>-64.700041</v>
      </c>
    </row>
    <row r="362" xml:space="preserve">
      <c r="A362" t="str">
        <v>BC0072-23</v>
      </c>
      <c r="B362" t="str" xml:space="preserve">
        <v xml:space="preserve">94 Middle Road_x000d__x000d_
Devonshire, BM DV06</v>
      </c>
      <c r="C362" t="str">
        <v>Building - Commercial</v>
      </c>
      <c r="D362" t="str">
        <v>Complete</v>
      </c>
      <c r="E362">
        <v>45131</v>
      </c>
      <c r="F362" t="str">
        <v xml:space="preserve">System Area - 3414 sq ft.  175 x 360W Modules.  System Capacity - 63 </v>
      </c>
      <c r="G362">
        <v>63</v>
      </c>
      <c r="H362" t="str">
        <v>Building Commercial</v>
      </c>
      <c r="I362">
        <v>45112</v>
      </c>
      <c r="J362">
        <v>45216</v>
      </c>
      <c r="K362" t="str">
        <v>Devonshire</v>
      </c>
      <c r="L362">
        <v>46958</v>
      </c>
      <c r="M362">
        <v>45211</v>
      </c>
      <c r="N362" t="str">
        <v/>
      </c>
      <c r="O362" t="str">
        <v>Yes</v>
      </c>
      <c r="P362">
        <v>32.3036953</v>
      </c>
      <c r="Q362">
        <v>-64.7558272</v>
      </c>
    </row>
    <row r="363" xml:space="preserve">
      <c r="A363" t="str">
        <v>B0328-23</v>
      </c>
      <c r="B363" t="str" xml:space="preserve">
        <v xml:space="preserve">27 Harrington Sound Road_x000d__x000d_
Hamilton, BM HS02, Bermuda</v>
      </c>
      <c r="C363" t="str">
        <v>Permitted Development</v>
      </c>
      <c r="D363" t="str">
        <v>Complete</v>
      </c>
      <c r="E363">
        <v>45139</v>
      </c>
      <c r="F363" t="str">
        <v>Solar PV Installation: 2 Panels @ 405 W/Panel; 18.9 sq ft/ panel; Total sq ft 37.8; Total System Capacity .8; Total annual output of 3,440 h | Tesla Powerwall x 2; 13.5h/Powerwall; Total System Capacity of 27 h; 4.48 sqft/Powerwall.</v>
      </c>
      <c r="G363">
        <v>0.8</v>
      </c>
      <c r="H363" t="str">
        <v>Residential</v>
      </c>
      <c r="I363">
        <v>45128</v>
      </c>
      <c r="J363">
        <v>45233</v>
      </c>
      <c r="K363" t="str">
        <v>Hamilton</v>
      </c>
      <c r="L363">
        <v>46965</v>
      </c>
      <c r="M363">
        <v>45217</v>
      </c>
      <c r="N363" t="str">
        <v/>
      </c>
      <c r="O363" t="str">
        <v>Yes</v>
      </c>
      <c r="P363">
        <v>32.334999</v>
      </c>
      <c r="Q363">
        <v>-64.706698</v>
      </c>
    </row>
    <row r="364" xml:space="preserve">
      <c r="A364" t="str">
        <v>BR0132-23</v>
      </c>
      <c r="B364" t="str" xml:space="preserve">
        <v xml:space="preserve">28 Rose Hill Road_x000d__x000d_
Southampton, BM SB03</v>
      </c>
      <c r="C364" t="str">
        <v>Building - Residential</v>
      </c>
      <c r="D364" t="str">
        <v>Complete</v>
      </c>
      <c r="E364">
        <v>45140</v>
      </c>
      <c r="F364" t="str">
        <v>Proposed Roof Mounted Solar PV System: 16 Panels @ 380 W/Panel; 19.8 sq. ft/Panel; Total: 316.8sq.ft; Total System Capacity 6.08 ; Total Annual Output 8,816 .</v>
      </c>
      <c r="G364">
        <v>6.08</v>
      </c>
      <c r="H364" t="str">
        <v>Building Residential</v>
      </c>
      <c r="I364">
        <v>45110</v>
      </c>
      <c r="J364">
        <v>45162</v>
      </c>
      <c r="K364" t="str">
        <v>Southampton</v>
      </c>
      <c r="L364">
        <v>46966</v>
      </c>
      <c r="M364">
        <v>45161</v>
      </c>
      <c r="N364" t="str">
        <v/>
      </c>
      <c r="O364" t="str">
        <v>Yes</v>
      </c>
      <c r="P364">
        <v>32.2615491</v>
      </c>
      <c r="Q364">
        <v>-64.8701001</v>
      </c>
    </row>
    <row r="365" xml:space="preserve">
      <c r="A365" t="str">
        <v>B0327-23</v>
      </c>
      <c r="B365" t="str" xml:space="preserve">
        <v xml:space="preserve">4 Aldie Drive_x000d__x000d_
Smiths, BM Fl02</v>
      </c>
      <c r="C365" t="str">
        <v>Permitted Development</v>
      </c>
      <c r="D365" t="str">
        <v>Complete</v>
      </c>
      <c r="E365">
        <v>45140</v>
      </c>
      <c r="F365" t="str">
        <v>Proposed PV System: 30 Panels @ 380 W/Panel; 19.8 sq ft/ Panel; Total sq ft 594; Total system capacity 11.4; Total Annual Output 15,960 h | Tesla Powerwall 2 @ 13.5h. Total System Capacity 13.5h, 4.48 sq ft/Powerwall.</v>
      </c>
      <c r="G365">
        <v>11.4</v>
      </c>
      <c r="H365" t="str">
        <v>Residential</v>
      </c>
      <c r="I365">
        <v>45128</v>
      </c>
      <c r="J365">
        <v>45232</v>
      </c>
      <c r="K365" t="str">
        <v>Smiths</v>
      </c>
      <c r="L365">
        <v>46966</v>
      </c>
      <c r="M365">
        <v>45215</v>
      </c>
      <c r="N365" t="str">
        <v/>
      </c>
      <c r="O365" t="str">
        <v>Yes</v>
      </c>
      <c r="P365">
        <v>32.314128</v>
      </c>
      <c r="Q365">
        <v>-64.745546</v>
      </c>
    </row>
    <row r="366" xml:space="preserve">
      <c r="A366" t="str">
        <v>B0310-23</v>
      </c>
      <c r="B366" t="str" xml:space="preserve">
        <v xml:space="preserve">97 Harrington Sound Road_x000d__x000d_
Smiths, BM HS02</v>
      </c>
      <c r="C366" t="str">
        <v>Permitted Development</v>
      </c>
      <c r="D366" t="str">
        <v>Complete</v>
      </c>
      <c r="E366">
        <v>45140</v>
      </c>
      <c r="F366" t="str">
        <v xml:space="preserve">Roof Mounted Solar PV System - 164 sq ft, 7 x 440W Modules, System Capacity: 3.08 </v>
      </c>
      <c r="G366">
        <v>3.08</v>
      </c>
      <c r="H366" t="str">
        <v>Residential</v>
      </c>
      <c r="I366">
        <v>45118</v>
      </c>
      <c r="J366">
        <v>45247</v>
      </c>
      <c r="K366" t="str">
        <v>Smiths</v>
      </c>
      <c r="L366">
        <v>46966</v>
      </c>
      <c r="M366">
        <v>45230</v>
      </c>
      <c r="N366" t="str">
        <v/>
      </c>
      <c r="O366" t="str">
        <v>Yes</v>
      </c>
      <c r="P366">
        <v>32.324886</v>
      </c>
      <c r="Q366">
        <v>-64.715552</v>
      </c>
    </row>
    <row r="367" xml:space="preserve">
      <c r="A367" t="str">
        <v>B0223-23</v>
      </c>
      <c r="B367" t="str" xml:space="preserve">
        <v xml:space="preserve">5 Melville Crescent_x000d__x000d_
Devonshire, BM DV07</v>
      </c>
      <c r="C367" t="str">
        <v>Permitted Development</v>
      </c>
      <c r="D367" t="str">
        <v>Complete</v>
      </c>
      <c r="E367">
        <v>45146</v>
      </c>
      <c r="F367" t="str">
        <v>Proposed Solar Mounted Panels - 532 sq. ft. Total, 19 sq. ft. Per Panel, 28 Panels x 400W,  11.2 System Output.</v>
      </c>
      <c r="G367">
        <v>11.2</v>
      </c>
      <c r="H367" t="str">
        <v>Residential</v>
      </c>
      <c r="I367">
        <v>45065</v>
      </c>
      <c r="J367">
        <v>45307</v>
      </c>
      <c r="K367" t="str">
        <v>Devonshire</v>
      </c>
      <c r="L367">
        <v>46972</v>
      </c>
      <c r="M367">
        <v>45295</v>
      </c>
      <c r="N367" t="str">
        <v/>
      </c>
      <c r="O367" t="str">
        <v>Yes</v>
      </c>
      <c r="P367">
        <v>32.299747</v>
      </c>
      <c r="Q367">
        <v>-64.751496</v>
      </c>
    </row>
    <row r="368" xml:space="preserve">
      <c r="A368" t="str">
        <v>B0073-23</v>
      </c>
      <c r="B368" t="str" xml:space="preserve">
        <v xml:space="preserve">76 Harbour Road_x000d__x000d_
Warwick, BM WK06</v>
      </c>
      <c r="C368" t="str">
        <v>Permitted Development</v>
      </c>
      <c r="D368" t="str">
        <v>Complete</v>
      </c>
      <c r="E368">
        <v>45146</v>
      </c>
      <c r="F368" t="str">
        <v>Proposed Solar Panels Affixed to Existing Roof (39 panels total). 741 sq. ft. Total, 19sq. ft. Per Panel, 39 Panels x 400W, 15.6  System Output. *Revision 1: Reduced and reconfigured panels. Proposed Solar Panels Affixed to Existing Roof (35 panels total). 665 sq. ft. Total, 19sq. ft. Per Panel, 35 Panels x 400W, 14  System Output.</v>
      </c>
      <c r="G368">
        <v>14</v>
      </c>
      <c r="H368" t="str">
        <v>Residential</v>
      </c>
      <c r="I368">
        <v>44974</v>
      </c>
      <c r="J368">
        <v>45518</v>
      </c>
      <c r="K368" t="str">
        <v>Warwick</v>
      </c>
      <c r="L368">
        <v>46972</v>
      </c>
      <c r="M368">
        <v>45474</v>
      </c>
      <c r="N368" t="str">
        <v/>
      </c>
      <c r="O368" t="str">
        <v>Yes</v>
      </c>
      <c r="P368">
        <v>32.279847</v>
      </c>
      <c r="Q368">
        <v>-64.79798</v>
      </c>
    </row>
    <row r="369" xml:space="preserve">
      <c r="A369" t="str">
        <v>BC0131-22</v>
      </c>
      <c r="B369" t="str" xml:space="preserve">
        <v xml:space="preserve">14 Ferry Road_x000d__x000d_
St. George's, GE01</v>
      </c>
      <c r="C369" t="str">
        <v>Building - Commercial</v>
      </c>
      <c r="D369" t="str">
        <v>Complete</v>
      </c>
      <c r="E369">
        <v>45147</v>
      </c>
      <c r="F369" t="str">
        <v>Proposed Roof Mounted Solar Panels 5,624 sq. ft. Total, 19sq. ft. Per Panel, 296 Panels x 400W, 118.4 System Output.</v>
      </c>
      <c r="G369">
        <v>118.4</v>
      </c>
      <c r="H369" t="str">
        <v>Building Commercial</v>
      </c>
      <c r="I369">
        <v>44881</v>
      </c>
      <c r="J369">
        <v>45685</v>
      </c>
      <c r="K369" t="str">
        <v>St. George</v>
      </c>
      <c r="L369">
        <v>46973</v>
      </c>
      <c r="M369">
        <v>45671</v>
      </c>
      <c r="N369" t="str">
        <v/>
      </c>
      <c r="O369" t="str">
        <v>Yes</v>
      </c>
      <c r="P369">
        <v>32.3665563</v>
      </c>
      <c r="Q369">
        <v>-64.7085898</v>
      </c>
    </row>
    <row r="370" xml:space="preserve">
      <c r="A370" t="str">
        <v>B0155-23</v>
      </c>
      <c r="B370" t="str" xml:space="preserve">
        <v xml:space="preserve">26 Castile Road_x000d__x000d_
Warwick, BM WK04</v>
      </c>
      <c r="C370" t="str">
        <v>Permitted Development</v>
      </c>
      <c r="D370" t="str">
        <v>Complete</v>
      </c>
      <c r="E370">
        <v>45148</v>
      </c>
      <c r="F370" t="str">
        <v xml:space="preserve">Roof Mounted Solar PV System - 750 sq ft, 32 X 435W Modules, System Capacity: 13.92 , Wall Mounted Battery System - 20 </v>
      </c>
      <c r="G370">
        <v>13.92</v>
      </c>
      <c r="H370" t="str">
        <v>Residential</v>
      </c>
      <c r="I370">
        <v>45028</v>
      </c>
      <c r="J370">
        <v>45287</v>
      </c>
      <c r="K370" t="str">
        <v>Warwick</v>
      </c>
      <c r="L370">
        <v>46974</v>
      </c>
      <c r="M370">
        <v>45280</v>
      </c>
      <c r="N370" t="str">
        <v/>
      </c>
      <c r="O370" t="str">
        <v>Yes</v>
      </c>
      <c r="P370">
        <v>32.265839</v>
      </c>
      <c r="Q370">
        <v>-64.829075</v>
      </c>
    </row>
    <row r="371" xml:space="preserve">
      <c r="A371" t="str">
        <v>B0181-23</v>
      </c>
      <c r="B371" t="str" xml:space="preserve">
        <v xml:space="preserve">144 Somerset Road_x000d__x000d_
Sandys, BM MA06</v>
      </c>
      <c r="C371" t="str">
        <v>Permitted Development</v>
      </c>
      <c r="D371" t="str">
        <v>Complete</v>
      </c>
      <c r="E371">
        <v>45148</v>
      </c>
      <c r="F371" t="str">
        <v>Roof Mounted Solar PV System - 149 sq ft, 8 x 375W Modules, System Capacity: 3, Wall Mounted Battery System - 13.3</v>
      </c>
      <c r="G371">
        <v>3</v>
      </c>
      <c r="H371" t="str">
        <v>Residential</v>
      </c>
      <c r="I371">
        <v>45040</v>
      </c>
      <c r="J371">
        <v>45229</v>
      </c>
      <c r="K371" t="str">
        <v>Sandys</v>
      </c>
      <c r="L371">
        <v>46974</v>
      </c>
      <c r="M371">
        <v>45216</v>
      </c>
      <c r="N371" t="str">
        <v/>
      </c>
      <c r="O371" t="str">
        <v>Yes</v>
      </c>
      <c r="P371">
        <v>32.286008</v>
      </c>
      <c r="Q371">
        <v>-64.875115</v>
      </c>
    </row>
    <row r="372" xml:space="preserve">
      <c r="A372" t="str">
        <v>B0277-23</v>
      </c>
      <c r="B372" t="str" xml:space="preserve">
        <v xml:space="preserve">7 Inghams Drive_x000d__x000d_
Pembroke, BM HM04</v>
      </c>
      <c r="C372" t="str">
        <v>Permitted Development</v>
      </c>
      <c r="D372" t="str">
        <v>Complete</v>
      </c>
      <c r="E372">
        <v>45160</v>
      </c>
      <c r="F372" t="str" xml:space="preserve">
        <v xml:space="preserve">New Solar Panel Installation with Timber Pergola and Block Work to Existing Boundary Wall 16 Panels @ 370W/ Panel; Total Area 314 sq ft; Total Output 5.92_x000d_
Annual Output h:7488 h.  Total AC Output:  4.64</v>
      </c>
      <c r="G372">
        <v>4.64</v>
      </c>
      <c r="H372" t="str">
        <v>Residential</v>
      </c>
      <c r="I372">
        <v>45099</v>
      </c>
      <c r="J372">
        <v>45832</v>
      </c>
      <c r="K372" t="str">
        <v>Pembroke</v>
      </c>
      <c r="L372">
        <v>46986</v>
      </c>
      <c r="M372">
        <v>45813</v>
      </c>
      <c r="N372" t="str">
        <v/>
      </c>
      <c r="O372" t="str">
        <v>Yes</v>
      </c>
      <c r="P372">
        <v>32.304996</v>
      </c>
      <c r="Q372">
        <v>-64.800128</v>
      </c>
    </row>
    <row r="373" xml:space="preserve">
      <c r="A373" t="str">
        <v>B0329-23</v>
      </c>
      <c r="B373" t="str" xml:space="preserve">
        <v xml:space="preserve">3 Tuckers Town Road_x000d__x000d_
St. George's, BM HS02</v>
      </c>
      <c r="C373" t="str">
        <v>Permitted Development</v>
      </c>
      <c r="D373" t="str">
        <v>Complete</v>
      </c>
      <c r="E373">
        <v>45161</v>
      </c>
      <c r="F373" t="str" xml:space="preserve">
        <v xml:space="preserve">Roof Mounted Solar PV System - 390 sq ft, 20 x 360W Modules, System Capacity: 7.2 Wall Mounted Battery System - 16.6  *Revision 1:additional ground mounted solar system - 410sqft Additional modules: 21x360W Additional System Capacity: 7.56_x000d__x000d_
Total System Capacity: 14.76; Total modules: 41x360W; Total System sqft: 800sqft *Revision 2: minor relocation of ground mounted solar array - same solar system details</v>
      </c>
      <c r="G373">
        <v>14.76</v>
      </c>
      <c r="H373" t="str">
        <v>Residential</v>
      </c>
      <c r="I373">
        <v>45128</v>
      </c>
      <c r="J373">
        <v>45502</v>
      </c>
      <c r="K373" t="str">
        <v>St. George</v>
      </c>
      <c r="L373">
        <v>46987</v>
      </c>
      <c r="M373">
        <v>45450</v>
      </c>
      <c r="N373" t="str">
        <v/>
      </c>
      <c r="O373" t="str">
        <v>Yes</v>
      </c>
      <c r="P373">
        <v>32.3342409</v>
      </c>
      <c r="Q373">
        <v>-64.6933298</v>
      </c>
    </row>
    <row r="374" xml:space="preserve">
      <c r="A374" t="str">
        <v>B0346-23</v>
      </c>
      <c r="B374" t="str" xml:space="preserve">
        <v xml:space="preserve">2 George's Bay Road_x000d__x000d_
Sandys, BM SB02</v>
      </c>
      <c r="C374" t="str">
        <v>Permitted Development</v>
      </c>
      <c r="D374" t="str">
        <v>Complete</v>
      </c>
      <c r="E374">
        <v>45161</v>
      </c>
      <c r="F374" t="str">
        <v xml:space="preserve">Roof Mounted Solar PV System - 275 sq ft,14 x 370W Modules, System Capacity: 5.18 </v>
      </c>
      <c r="G374">
        <v>5.18</v>
      </c>
      <c r="H374" t="str">
        <v>Residential</v>
      </c>
      <c r="I374">
        <v>45138</v>
      </c>
      <c r="J374">
        <v>45279</v>
      </c>
      <c r="K374" t="str">
        <v>Sandys</v>
      </c>
      <c r="L374">
        <v>46987</v>
      </c>
      <c r="M374">
        <v>45273</v>
      </c>
      <c r="N374" t="str">
        <v/>
      </c>
      <c r="O374" t="str">
        <v>Yes</v>
      </c>
      <c r="P374">
        <v>32.2689034</v>
      </c>
      <c r="Q374">
        <v>-64.8730081</v>
      </c>
    </row>
    <row r="375" xml:space="preserve">
      <c r="A375" t="str">
        <v>B0349-23</v>
      </c>
      <c r="B375" t="str" xml:space="preserve">
        <v xml:space="preserve">35 Knapton Estates Road_x000d__x000d_
Smiths, BM HS01</v>
      </c>
      <c r="C375" t="str">
        <v>Permitted Development</v>
      </c>
      <c r="D375" t="str">
        <v>Complete</v>
      </c>
      <c r="E375">
        <v>45161</v>
      </c>
      <c r="F375" t="str">
        <v xml:space="preserve">Roof Mounted Solar PV System - 530 sq ft, 27 X 370W Modules, System Capacity: 9.99 </v>
      </c>
      <c r="G375">
        <v>9.99</v>
      </c>
      <c r="H375" t="str">
        <v>Residential</v>
      </c>
      <c r="I375">
        <v>45138</v>
      </c>
      <c r="J375">
        <v>45229</v>
      </c>
      <c r="K375" t="str">
        <v>Smiths</v>
      </c>
      <c r="L375">
        <v>46987</v>
      </c>
      <c r="M375">
        <v>45229</v>
      </c>
      <c r="N375" t="str">
        <v/>
      </c>
      <c r="O375" t="str">
        <v>Yes</v>
      </c>
      <c r="P375">
        <v>32.318505</v>
      </c>
      <c r="Q375">
        <v>-64.717106</v>
      </c>
    </row>
    <row r="376" xml:space="preserve">
      <c r="A376" t="str">
        <v>B0228-23</v>
      </c>
      <c r="B376" t="str" xml:space="preserve">
        <v xml:space="preserve">6 Flowercote Lane_x000d__x000d_
Smiths, BM FL06</v>
      </c>
      <c r="C376" t="str">
        <v>Permitted Development</v>
      </c>
      <c r="D376" t="str">
        <v>Complete</v>
      </c>
      <c r="E376">
        <v>45161</v>
      </c>
      <c r="F376" t="str">
        <v xml:space="preserve">Roof Mounted Solar PV System - 177 sq ft.  9 x 370W Modules.  System Capacity: 3.33 </v>
      </c>
      <c r="G376">
        <v>3.33</v>
      </c>
      <c r="H376" t="str">
        <v>Residential</v>
      </c>
      <c r="I376">
        <v>45069</v>
      </c>
      <c r="J376">
        <v>45229</v>
      </c>
      <c r="K376" t="str">
        <v>Smiths</v>
      </c>
      <c r="L376">
        <v>46987</v>
      </c>
      <c r="M376">
        <v>45224</v>
      </c>
      <c r="N376" t="str">
        <v/>
      </c>
      <c r="O376" t="str">
        <v>Yes</v>
      </c>
      <c r="P376">
        <v>32.3183113</v>
      </c>
      <c r="Q376">
        <v>-64.7261038</v>
      </c>
    </row>
    <row r="377" xml:space="preserve">
      <c r="A377" t="str">
        <v>B0342-23</v>
      </c>
      <c r="B377" t="str" xml:space="preserve">
        <v xml:space="preserve">10 Frascati Lane_x000d__x000d_
Smiths, BM FL04</v>
      </c>
      <c r="C377" t="str">
        <v>Permitted Development</v>
      </c>
      <c r="D377" t="str">
        <v>Complete</v>
      </c>
      <c r="E377">
        <v>45161</v>
      </c>
      <c r="F377" t="str">
        <v>Roof Top Solar, 16 - 345W PV Modules, (5.52 ), Annual Production 7,618 h, Total Area 322 Square Feet.</v>
      </c>
      <c r="G377">
        <v>5.52</v>
      </c>
      <c r="H377" t="str">
        <v>Residential</v>
      </c>
      <c r="I377">
        <v>45135</v>
      </c>
      <c r="J377">
        <v>45240</v>
      </c>
      <c r="K377" t="str">
        <v>Bermuda</v>
      </c>
      <c r="L377">
        <v>46987</v>
      </c>
      <c r="M377">
        <v>45238</v>
      </c>
      <c r="N377" t="str">
        <v/>
      </c>
      <c r="O377" t="str">
        <v>Yes</v>
      </c>
      <c r="P377">
        <v>32.321635</v>
      </c>
      <c r="Q377">
        <v>-64.73887</v>
      </c>
    </row>
    <row r="378" xml:space="preserve">
      <c r="A378" t="str">
        <v>B0348-23</v>
      </c>
      <c r="B378" t="str" xml:space="preserve">
        <v xml:space="preserve">9 Store Hill_x000d__x000d_
Smiths, BM FL03</v>
      </c>
      <c r="C378" t="str">
        <v>Permitted Development</v>
      </c>
      <c r="D378" t="str">
        <v>Complete</v>
      </c>
      <c r="E378">
        <v>45161</v>
      </c>
      <c r="F378" t="str">
        <v xml:space="preserve">Roof Mounted Solar PV System -334 sq ft, 17 X 370W Modules, System Capacity: 6.29 </v>
      </c>
      <c r="G378">
        <v>6.29</v>
      </c>
      <c r="H378" t="str">
        <v>Residential</v>
      </c>
      <c r="I378">
        <v>45138</v>
      </c>
      <c r="J378">
        <v>45322</v>
      </c>
      <c r="K378" t="str">
        <v>Smiths</v>
      </c>
      <c r="L378">
        <v>46987</v>
      </c>
      <c r="M378">
        <v>45309</v>
      </c>
      <c r="N378" t="str">
        <v/>
      </c>
      <c r="O378" t="str">
        <v>Yes</v>
      </c>
      <c r="P378">
        <v>32.3163615</v>
      </c>
      <c r="Q378">
        <v>-64.7462481</v>
      </c>
    </row>
    <row r="379" xml:space="preserve">
      <c r="A379" t="str">
        <v>B0353-23</v>
      </c>
      <c r="B379" t="str" xml:space="preserve">
        <v xml:space="preserve">6 Bean Dale_x000d__x000d_
Pembroke, BM HM02</v>
      </c>
      <c r="C379" t="str">
        <v>Permitted Development</v>
      </c>
      <c r="D379" t="str">
        <v>Issued</v>
      </c>
      <c r="E379">
        <v>45161</v>
      </c>
      <c r="F379" t="str">
        <v>Roof Top Solar, 20 - 360W PV Modules, (7.20 ), Annual Production 9,900 , Total Area 400 Square Feet. With 15h, DC Coupled Battery Storage System.</v>
      </c>
      <c r="G379">
        <v>7.2</v>
      </c>
      <c r="H379" t="str">
        <v>Residential</v>
      </c>
      <c r="I379">
        <v>45139</v>
      </c>
      <c r="J379" t="str">
        <v/>
      </c>
      <c r="K379" t="str">
        <v>Pembroke</v>
      </c>
      <c r="L379">
        <v>46987</v>
      </c>
      <c r="M379">
        <v>45499</v>
      </c>
      <c r="N379" t="str">
        <v/>
      </c>
      <c r="O379" t="str">
        <v>Yes</v>
      </c>
      <c r="P379">
        <v>32.3052488</v>
      </c>
      <c r="Q379">
        <v>-64.8074867</v>
      </c>
    </row>
    <row r="380" xml:space="preserve">
      <c r="A380" t="str">
        <v>B0273-23</v>
      </c>
      <c r="B380" t="str" xml:space="preserve">
        <v xml:space="preserve">2 Deepwood Drive_x000d__x000d_
Pembroke, BM HM05</v>
      </c>
      <c r="C380" t="str">
        <v>Permitted Development</v>
      </c>
      <c r="D380" t="str">
        <v>Complete</v>
      </c>
      <c r="E380">
        <v>45161</v>
      </c>
      <c r="F380" t="str" xml:space="preserve">
        <v xml:space="preserve">Roof Mounted Solar PV System - 373 sq ft, 19 x 370W Modules, System Capacity: 7.03 , Wall Mounted Battery System - 20 *Revision 1: proposed additional roof mounted solar PV system - 255sqft 13x370W modules, Additional Capacity: 4.81; Existing PV Capacity: 7.03 _x000d__x000d_
Total PV modules: 32x370W; Total PV System Capacity: 11.84; Total sf: 628sqft_x000d__x000d_
(Building Only P0272-23)</v>
      </c>
      <c r="G380">
        <v>11.84</v>
      </c>
      <c r="H380" t="str">
        <v>Residential</v>
      </c>
      <c r="I380">
        <v>45098</v>
      </c>
      <c r="J380">
        <v>45287</v>
      </c>
      <c r="K380" t="str">
        <v>Pembroke</v>
      </c>
      <c r="L380">
        <v>46987</v>
      </c>
      <c r="M380">
        <v>45280</v>
      </c>
      <c r="N380" t="str">
        <v/>
      </c>
      <c r="O380" t="str">
        <v>Yes</v>
      </c>
      <c r="P380">
        <v>32.2961873</v>
      </c>
      <c r="Q380">
        <v>-64.801126</v>
      </c>
    </row>
    <row r="381" xml:space="preserve">
      <c r="A381" t="str">
        <v>B0295-23</v>
      </c>
      <c r="B381" t="str" xml:space="preserve">
        <v xml:space="preserve">8 Frascati Lane_x000d__x000d_
Smiths, BM FL04</v>
      </c>
      <c r="C381" t="str">
        <v>Permitted Development</v>
      </c>
      <c r="D381" t="str">
        <v>Complete</v>
      </c>
      <c r="E381">
        <v>45163</v>
      </c>
      <c r="F381" t="str">
        <v>Roof Top Solar, 22 - 345W PV Modules, (7.59 ), Annual Production 11,610h, Total Area 443 Square Feet. *Revision 1: Roof Top Solar, 22 - 345W PV Modules, (7.59 ), Annual Production 11,610h, Total Area 443 Square Feet.</v>
      </c>
      <c r="G381">
        <v>7.59</v>
      </c>
      <c r="H381" t="str">
        <v>Residential</v>
      </c>
      <c r="I381">
        <v>45112</v>
      </c>
      <c r="J381">
        <v>45300</v>
      </c>
      <c r="K381" t="str">
        <v>Bermuda</v>
      </c>
      <c r="L381">
        <v>46989</v>
      </c>
      <c r="M381">
        <v>45279</v>
      </c>
      <c r="N381" t="str">
        <v/>
      </c>
      <c r="O381" t="str">
        <v>Yes</v>
      </c>
      <c r="P381">
        <v>32.32154</v>
      </c>
      <c r="Q381">
        <v>-64.739194</v>
      </c>
    </row>
    <row r="382" xml:space="preserve">
      <c r="A382" t="str">
        <v>B0364-23</v>
      </c>
      <c r="B382" t="str" xml:space="preserve">
        <v xml:space="preserve">12 Knapton Estates Road_x000d__x000d_
Smiths, BM FL08</v>
      </c>
      <c r="C382" t="str">
        <v>Permitted Development</v>
      </c>
      <c r="D382" t="str">
        <v>Complete</v>
      </c>
      <c r="E382">
        <v>45166</v>
      </c>
      <c r="F382" t="str">
        <v>Solar PV System: 46 Panels @ 380 w/Panel; 19.8 sq ft/Panel; Total sq ft 910.8; Total System Capacity 17.48 ; Total Annual Output 25,346  | Tesla Powerwall: 4 Tesla Powerwalls @ 13.5 /Powerwall; Total System Capacity 54 ;  4.46 sq ft/Powerwall; Total sq ft 17.84</v>
      </c>
      <c r="G382">
        <v>17.48</v>
      </c>
      <c r="H382" t="str">
        <v>Residential</v>
      </c>
      <c r="I382">
        <v>45152</v>
      </c>
      <c r="J382">
        <v>45229</v>
      </c>
      <c r="K382" t="str">
        <v>Smiths</v>
      </c>
      <c r="L382">
        <v>46993</v>
      </c>
      <c r="M382">
        <v>45224</v>
      </c>
      <c r="N382" t="str">
        <v/>
      </c>
      <c r="O382" t="str">
        <v>Yes</v>
      </c>
      <c r="P382">
        <v>32.315525</v>
      </c>
      <c r="Q382">
        <v>-64.719527</v>
      </c>
    </row>
    <row r="383" xml:space="preserve">
      <c r="A383" t="str">
        <v>B0370-23</v>
      </c>
      <c r="B383" t="str" xml:space="preserve">
        <v xml:space="preserve">136 Somerset Road_x000d__x000d_
Sandys, BM MA06</v>
      </c>
      <c r="C383" t="str">
        <v>Permitted Development</v>
      </c>
      <c r="D383" t="str">
        <v>Complete</v>
      </c>
      <c r="E383">
        <v>45167</v>
      </c>
      <c r="F383" t="str" xml:space="preserve">
        <v xml:space="preserve">Roof Mounted Solar PV System - 193 sq ft, 10x370W Modules, System Capacity: 3.7  *Revision 1: proposed additional roof mounted solar PV system - 157sqft 8x370W modules, Additional Capacity: 2.96; Existing PV Capacity: 3.7 _x000d__x000d_
Total PV modules: 18x370W; Total PV System Capacity: 6.66; Total sf: 350sqft_x000d__x000d_
(Building Only P0242-23)</v>
      </c>
      <c r="G383">
        <v>6.66</v>
      </c>
      <c r="H383" t="str">
        <v>Residential</v>
      </c>
      <c r="I383">
        <v>45155</v>
      </c>
      <c r="J383">
        <v>45287</v>
      </c>
      <c r="K383" t="str">
        <v>Sandys</v>
      </c>
      <c r="L383">
        <v>46993</v>
      </c>
      <c r="M383">
        <v>45280</v>
      </c>
      <c r="N383" t="str">
        <v/>
      </c>
      <c r="O383" t="str">
        <v>Yes</v>
      </c>
      <c r="P383">
        <v>32.288659</v>
      </c>
      <c r="Q383">
        <v>-64.874039</v>
      </c>
    </row>
    <row r="384" xml:space="preserve">
      <c r="A384" t="str">
        <v>B0378-23</v>
      </c>
      <c r="B384" t="str" xml:space="preserve">
        <v xml:space="preserve">18 Grape Bay Drive_x000d__x000d_
Paget, BM PG06</v>
      </c>
      <c r="C384" t="str">
        <v>Permitted Development</v>
      </c>
      <c r="D384" t="str">
        <v>Complete</v>
      </c>
      <c r="E384">
        <v>45167</v>
      </c>
      <c r="F384" t="str" xml:space="preserve">
        <v xml:space="preserve">Proposed Roof Mounted Solar PV System - 137 sq ft, 7x360W Modules, System Capacity: 2.52. Reinstallation of Existing Solar PV System (17x315W = 5.355) (Uninstalled for Renovation BR0174-22)_x000d__x000d_
_x000d__x000d_
Total System Capacity: 7.875  </v>
      </c>
      <c r="G384">
        <v>7.875</v>
      </c>
      <c r="H384" t="str">
        <v>Residential</v>
      </c>
      <c r="I384">
        <v>45161</v>
      </c>
      <c r="J384">
        <v>45321</v>
      </c>
      <c r="K384" t="str">
        <v>Paget</v>
      </c>
      <c r="L384">
        <v>46993</v>
      </c>
      <c r="M384">
        <v>45278</v>
      </c>
      <c r="N384" t="str">
        <v/>
      </c>
      <c r="O384" t="str">
        <v>Yes</v>
      </c>
      <c r="P384">
        <v>32.283915</v>
      </c>
      <c r="Q384">
        <v>-64.771408</v>
      </c>
    </row>
    <row r="385" xml:space="preserve">
      <c r="A385" t="str">
        <v>B0377-23</v>
      </c>
      <c r="B385" t="str" xml:space="preserve">
        <v xml:space="preserve">3 Green Bay Lane_x000d__x000d_
Pembroke, BM HM01</v>
      </c>
      <c r="C385" t="str">
        <v>Permitted Development</v>
      </c>
      <c r="D385" t="str">
        <v>Complete</v>
      </c>
      <c r="E385">
        <v>45170</v>
      </c>
      <c r="F385" t="str">
        <v xml:space="preserve">Solar PV System: 16 Panels @ 405 W/Panel; 19.9 sq ft/Panel; Total sq ft 318.4; Total System Capacity 6.48 ; Total Annual Output 9,396 </v>
      </c>
      <c r="G385">
        <v>6.78</v>
      </c>
      <c r="H385" t="str">
        <v>Residential</v>
      </c>
      <c r="I385">
        <v>45161</v>
      </c>
      <c r="J385">
        <v>45698</v>
      </c>
      <c r="K385" t="str">
        <v>Pembroke</v>
      </c>
      <c r="L385">
        <v>46996</v>
      </c>
      <c r="M385">
        <v>45693</v>
      </c>
      <c r="N385" t="str">
        <v/>
      </c>
      <c r="O385" t="str">
        <v>Yes</v>
      </c>
      <c r="P385">
        <v>32.302835</v>
      </c>
      <c r="Q385">
        <v>-64.812383</v>
      </c>
    </row>
    <row r="386" xml:space="preserve">
      <c r="A386" t="str">
        <v>B0373-23</v>
      </c>
      <c r="B386" t="str" xml:space="preserve">
        <v xml:space="preserve">14 Cross Bay Road_x000d__x000d_
Southampton, BM SN02</v>
      </c>
      <c r="C386" t="str">
        <v>Permitted Development</v>
      </c>
      <c r="D386" t="str">
        <v>Complete</v>
      </c>
      <c r="E386">
        <v>45175</v>
      </c>
      <c r="F386" t="str">
        <v>Solar PV System: 23 panels @ 405 W/panel; 19.9 sq ft/panel; Total sq ft 457.7; Total system capacity 9.32 ; Total annual output 12,582 h | Tesla Powerwall: 1 Tesla Powerwalls @ 13.5/Powerwall; Total System Capacity 13.5 ; 4.46 sq ft/ Powerwall; Total sq ft 4.46</v>
      </c>
      <c r="G386">
        <v>9.32</v>
      </c>
      <c r="H386" t="str">
        <v>Residential</v>
      </c>
      <c r="I386">
        <v>45156</v>
      </c>
      <c r="J386">
        <v>45229</v>
      </c>
      <c r="K386" t="str">
        <v>Southampton</v>
      </c>
      <c r="L386">
        <v>47001</v>
      </c>
      <c r="M386">
        <v>45224</v>
      </c>
      <c r="N386" t="str">
        <v/>
      </c>
      <c r="O386" t="str">
        <v>Yes</v>
      </c>
      <c r="P386">
        <v>32.250044</v>
      </c>
      <c r="Q386">
        <v>-64.829252</v>
      </c>
    </row>
    <row r="387" xml:space="preserve">
      <c r="A387" t="str">
        <v>B0358-23</v>
      </c>
      <c r="B387" t="str" xml:space="preserve">
        <v xml:space="preserve">8 Bridge View Lane_x000d__x000d_
Sandys, BM MA01</v>
      </c>
      <c r="C387" t="str">
        <v>Permitted Development</v>
      </c>
      <c r="D387" t="str">
        <v>Issued</v>
      </c>
      <c r="E387">
        <v>45175</v>
      </c>
      <c r="F387" t="str">
        <v xml:space="preserve">Roof Mounted Solar PV System - 157 sq ft., 8 x 370W Modules, System Capacity: 2.96 , Wall Mounted Battery System - 3 </v>
      </c>
      <c r="G387">
        <v>2.96</v>
      </c>
      <c r="H387" t="str">
        <v>Residential</v>
      </c>
      <c r="I387">
        <v>45145</v>
      </c>
      <c r="J387">
        <v>45355</v>
      </c>
      <c r="K387" t="str">
        <v>Sandys</v>
      </c>
      <c r="L387">
        <v>47001</v>
      </c>
      <c r="M387">
        <v>45350</v>
      </c>
      <c r="N387" t="str">
        <v/>
      </c>
      <c r="O387" t="str">
        <v>Yes</v>
      </c>
      <c r="P387">
        <v>32.3037912</v>
      </c>
      <c r="Q387">
        <v>-64.8603385</v>
      </c>
    </row>
    <row r="388" xml:space="preserve">
      <c r="A388" t="str">
        <v>B0278-23</v>
      </c>
      <c r="B388" t="str" xml:space="preserve">
        <v xml:space="preserve">15 Cavendish Road_x000d__x000d_
Pembroke, BM HM19</v>
      </c>
      <c r="C388" t="str">
        <v>Permitted Development</v>
      </c>
      <c r="D388" t="str">
        <v>Complete</v>
      </c>
      <c r="E388">
        <v>45175</v>
      </c>
      <c r="F388" t="str">
        <v>Roof Mounted Solar PV System - 429 sq ft., 22 X 360W Modules, System Capacity: 7.92, Wall Mounted Battery System - 20  *Revision 1: addition of Aluminum rail glide, attached to PV module to assist water collection</v>
      </c>
      <c r="G388">
        <v>7.92</v>
      </c>
      <c r="H388" t="str">
        <v>Residential</v>
      </c>
      <c r="I388">
        <v>45099</v>
      </c>
      <c r="J388">
        <v>45343</v>
      </c>
      <c r="K388" t="str">
        <v>Pembroke</v>
      </c>
      <c r="L388">
        <v>47001</v>
      </c>
      <c r="M388">
        <v>45338</v>
      </c>
      <c r="N388" t="str">
        <v/>
      </c>
      <c r="O388" t="str">
        <v>Yes</v>
      </c>
      <c r="P388">
        <v>32.2941853</v>
      </c>
      <c r="Q388">
        <v>-64.7736257</v>
      </c>
    </row>
    <row r="389" xml:space="preserve">
      <c r="A389" t="str">
        <v>B0380-23</v>
      </c>
      <c r="B389" t="str" xml:space="preserve">
        <v xml:space="preserve">17 Point Finger Road_x000d__x000d_
Paget, BM DV04</v>
      </c>
      <c r="C389" t="str">
        <v>Permitted Development</v>
      </c>
      <c r="D389" t="str">
        <v>Complete</v>
      </c>
      <c r="E389">
        <v>45176</v>
      </c>
      <c r="F389" t="str">
        <v xml:space="preserve">Solar PV System: 19 Panels @ 405 W/Panels; 19.9 sq ft/Panel; Total sq ft 378.1; Total System Capacity 7.69 ; Total Annual Output 11,158 </v>
      </c>
      <c r="G389">
        <v>7.69</v>
      </c>
      <c r="H389" t="str">
        <v>Residential</v>
      </c>
      <c r="I389">
        <v>45166</v>
      </c>
      <c r="J389">
        <v>45232</v>
      </c>
      <c r="K389" t="str">
        <v>Paget</v>
      </c>
      <c r="L389">
        <v>47002</v>
      </c>
      <c r="M389">
        <v>45223</v>
      </c>
      <c r="N389" t="str">
        <v/>
      </c>
      <c r="O389" t="str">
        <v>Yes</v>
      </c>
      <c r="P389">
        <v>32.290884</v>
      </c>
      <c r="Q389">
        <v>-64.76554</v>
      </c>
    </row>
    <row r="390" xml:space="preserve">
      <c r="A390" t="str">
        <v>B0381-23</v>
      </c>
      <c r="B390" t="str" xml:space="preserve">
        <v xml:space="preserve">29 Berry Hill Road_x000d__x000d_
Paget, BM DV03</v>
      </c>
      <c r="C390" t="str">
        <v>Permitted Development</v>
      </c>
      <c r="D390" t="str">
        <v>Complete</v>
      </c>
      <c r="E390">
        <v>45176</v>
      </c>
      <c r="F390" t="str">
        <v>Solar PV System: 15 Panels @ 405 W/Panels; 19.9 sq ft/Panel; Total sq ft 298.5; Total System Capacity 6.1 ; Total Annual Output 8,808  | 2 Tesla Powerwalls @ 13.5 /Powerwall; Total Battery Capacity 27 h; 4.46 sq ft/Powerwall; Total sq ft 8.92 *Revision 1: Solar PV System: 15 Panels @ 405 W/Panels; 19.9 sq ft/Panel; Total sq ft 298.5; Total System Capacity 6.1 ; Total Annual Output 8,808  | 2 Tesla Powerwalls @ 13.5 /Powerwall; Total Battery Capacity 27 h; 4.46 sq ft/Powerwall; Total sq ft 8.92 *Revision 2: Solar PV System: 9 panels @ 405 W/panel; 19.9 sq ft/panel; Total sq ft 179.1; Total system capacity 3.64 ; Total annual output 5,285 h | 2 Tesla Powerwalls @ 13.5 /Powerwall; Total battery capacity 27 h; 4.46 sq ft/Powerwall; Total sq ft 8.92</v>
      </c>
      <c r="G390">
        <v>3.64</v>
      </c>
      <c r="H390" t="str">
        <v>Residential</v>
      </c>
      <c r="I390">
        <v>45166</v>
      </c>
      <c r="J390">
        <v>45265</v>
      </c>
      <c r="K390" t="str">
        <v>Paget</v>
      </c>
      <c r="L390">
        <v>47002</v>
      </c>
      <c r="M390">
        <v>45261</v>
      </c>
      <c r="N390" t="str">
        <v/>
      </c>
      <c r="O390" t="str">
        <v>Yes</v>
      </c>
      <c r="P390">
        <v>32.2940416</v>
      </c>
      <c r="Q390">
        <v>-64.7640316</v>
      </c>
    </row>
    <row r="391" xml:space="preserve">
      <c r="A391" t="str">
        <v>B0290-23</v>
      </c>
      <c r="B391" t="str" xml:space="preserve">
        <v xml:space="preserve">11 Kelland Circle_x000d__x000d_
Warwick, BM WK10</v>
      </c>
      <c r="C391" t="str">
        <v>Permitted Development</v>
      </c>
      <c r="D391" t="str">
        <v>Complete</v>
      </c>
      <c r="E391">
        <v>45177</v>
      </c>
      <c r="F391" t="str">
        <v>Roof Mounted Solar PV System - 255 sq ft,13 x 370W Modules System Capacity: 4.81</v>
      </c>
      <c r="G391">
        <v>4.81</v>
      </c>
      <c r="H391" t="str">
        <v>Residential</v>
      </c>
      <c r="I391">
        <v>45111</v>
      </c>
      <c r="J391">
        <v>45321</v>
      </c>
      <c r="K391" t="str">
        <v>Warwick</v>
      </c>
      <c r="L391">
        <v>47003</v>
      </c>
      <c r="M391">
        <v>45295</v>
      </c>
      <c r="N391" t="str">
        <v/>
      </c>
      <c r="O391" t="str">
        <v>Yes</v>
      </c>
      <c r="P391">
        <v>32.2704937</v>
      </c>
      <c r="Q391">
        <v>-64.7926894</v>
      </c>
    </row>
    <row r="392" xml:space="preserve">
      <c r="A392" t="str">
        <v>B0020-23</v>
      </c>
      <c r="B392" t="str" xml:space="preserve">
        <v xml:space="preserve">3 Tween Walls_x000d__x000d_
Sandys, BM MA02</v>
      </c>
      <c r="C392" t="str">
        <v>Permitted Development</v>
      </c>
      <c r="D392" t="str">
        <v>Complete</v>
      </c>
      <c r="E392">
        <v>45182</v>
      </c>
      <c r="F392" t="str" xml:space="preserve">
        <v xml:space="preserve">Proposed Roof Mounted Solar Panels._x000d__x000d_
28 Panels, 532 sq ft Total. 11.2 Total. (400w Per Panel, 19 sq ft Per Panel.)</v>
      </c>
      <c r="G392">
        <v>11.2</v>
      </c>
      <c r="H392" t="str">
        <v>Residential</v>
      </c>
      <c r="I392">
        <v>44937</v>
      </c>
      <c r="J392">
        <v>45268</v>
      </c>
      <c r="K392" t="str">
        <v>Sandys</v>
      </c>
      <c r="L392">
        <v>47008</v>
      </c>
      <c r="M392">
        <v>45215</v>
      </c>
      <c r="N392" t="str">
        <v/>
      </c>
      <c r="O392" t="str">
        <v>Yes</v>
      </c>
      <c r="P392">
        <v>32.304535</v>
      </c>
      <c r="Q392">
        <v>-64.867865</v>
      </c>
    </row>
    <row r="393" xml:space="preserve">
      <c r="A393" t="str">
        <v>B0314-23</v>
      </c>
      <c r="B393" t="str" xml:space="preserve">
        <v xml:space="preserve">7 Salt House Lane_x000d__x000d_
Smiths, BM FL08</v>
      </c>
      <c r="C393" t="str">
        <v>Permitted Development</v>
      </c>
      <c r="D393" t="str">
        <v>Complete</v>
      </c>
      <c r="E393">
        <v>45208</v>
      </c>
      <c r="F393" t="str" xml:space="preserve">
        <v xml:space="preserve">Roof Mounted Solar PV System - 351 sq ft., , 15 x 440W Modules, System Capacity: 6.6  *Revision 1: add one additional solar module - 24sqft_x000d__x000d_
Total System: 16 panels @ 440W/panel; Total area 375 sq ft; Total System Power 7.04</v>
      </c>
      <c r="G393">
        <v>7.04</v>
      </c>
      <c r="H393" t="str">
        <v>Residential</v>
      </c>
      <c r="I393">
        <v>45118</v>
      </c>
      <c r="J393">
        <v>45315</v>
      </c>
      <c r="K393" t="str">
        <v>Smiths</v>
      </c>
      <c r="L393">
        <v>47035</v>
      </c>
      <c r="M393">
        <v>45309</v>
      </c>
      <c r="N393" t="str">
        <v/>
      </c>
      <c r="O393" t="str">
        <v>Yes</v>
      </c>
      <c r="P393">
        <v>32.3193636</v>
      </c>
      <c r="Q393">
        <v>-64.7234988</v>
      </c>
    </row>
    <row r="394" xml:space="preserve">
      <c r="A394" t="str">
        <v>B0394-23</v>
      </c>
      <c r="B394" t="str" xml:space="preserve">
        <v xml:space="preserve">9 Farmstead Lane Unit: A_x000d__x000d_
Sandys, BM SB01</v>
      </c>
      <c r="C394" t="str">
        <v>Permitted Development</v>
      </c>
      <c r="D394" t="str">
        <v>Complete</v>
      </c>
      <c r="E394">
        <v>45215</v>
      </c>
      <c r="F394" t="str">
        <v>Solar PV System: 17 panels @ 405 W/Panel; 19.9 sq ft/Panel; Total sq ft 338; Total System Capacity 6.89 ; Total Annual Output 9,983</v>
      </c>
      <c r="G394">
        <v>6.89</v>
      </c>
      <c r="H394" t="str">
        <v>Residential</v>
      </c>
      <c r="I394">
        <v>45175</v>
      </c>
      <c r="J394">
        <v>45303</v>
      </c>
      <c r="K394" t="str">
        <v>Sandys</v>
      </c>
      <c r="L394">
        <v>47042</v>
      </c>
      <c r="M394">
        <v>45294</v>
      </c>
      <c r="N394" t="str">
        <v/>
      </c>
      <c r="O394" t="str">
        <v>Yes</v>
      </c>
      <c r="P394">
        <v>32.2726262</v>
      </c>
      <c r="Q394">
        <v>-64.8766786</v>
      </c>
    </row>
    <row r="395" xml:space="preserve">
      <c r="A395" t="str">
        <v>B0321-23</v>
      </c>
      <c r="B395" t="str" xml:space="preserve">
        <v xml:space="preserve">6 Mill Reach Lane_x000d__x000d_
Pembroke, BM HM05</v>
      </c>
      <c r="C395" t="str">
        <v>Permitted Development</v>
      </c>
      <c r="D395" t="str">
        <v>Complete</v>
      </c>
      <c r="E395">
        <v>45215</v>
      </c>
      <c r="F395" t="str">
        <v>Proposed Roof Mounted Warehouse Solar System. 33 Modules @ 490W/module; 16,170W DC; 832,26 sq ft. Area; Estimated Annual Yield; 22,310 .</v>
      </c>
      <c r="G395">
        <v>16.17</v>
      </c>
      <c r="H395" t="str">
        <v>Commercial</v>
      </c>
      <c r="I395">
        <v>45127</v>
      </c>
      <c r="J395">
        <v>45618</v>
      </c>
      <c r="K395" t="str">
        <v>Pembroke</v>
      </c>
      <c r="L395">
        <v>47042</v>
      </c>
      <c r="M395">
        <v>45576</v>
      </c>
      <c r="N395" t="str">
        <v/>
      </c>
      <c r="O395" t="str">
        <v>Yes</v>
      </c>
      <c r="P395">
        <v>32.299117</v>
      </c>
      <c r="Q395">
        <v>-64.799605</v>
      </c>
    </row>
    <row r="396" xml:space="preserve">
      <c r="A396" t="str">
        <v>B0344-23</v>
      </c>
      <c r="B396" t="str" xml:space="preserve">
        <v xml:space="preserve">1 Bluebird Lane_x000d__x000d_
Sandys, BM MA06</v>
      </c>
      <c r="C396" t="str">
        <v>Permitted Development</v>
      </c>
      <c r="D396" t="str">
        <v>Complete</v>
      </c>
      <c r="E396">
        <v>45215</v>
      </c>
      <c r="F396" t="str">
        <v xml:space="preserve">Roof Mounted Solar PV System - 295 sq ft, 15 X 370W Modules, System Capacity: 5.55 </v>
      </c>
      <c r="G396">
        <v>5.55</v>
      </c>
      <c r="H396" t="str">
        <v>Residential</v>
      </c>
      <c r="I396">
        <v>45138</v>
      </c>
      <c r="J396">
        <v>45247</v>
      </c>
      <c r="K396" t="str">
        <v>Sandys</v>
      </c>
      <c r="L396">
        <v>47042</v>
      </c>
      <c r="M396">
        <v>45246</v>
      </c>
      <c r="N396" t="str">
        <v/>
      </c>
      <c r="O396" t="str">
        <v>Yes</v>
      </c>
      <c r="P396">
        <v>32.279571</v>
      </c>
      <c r="Q396">
        <v>-64.874619</v>
      </c>
    </row>
    <row r="397" xml:space="preserve">
      <c r="A397" t="str">
        <v>B0357-23</v>
      </c>
      <c r="B397" t="str" xml:space="preserve">
        <v xml:space="preserve">4 Glebe Hill_x000d__x000d_
Hamilton, BM HS02</v>
      </c>
      <c r="C397" t="str">
        <v>Permitted Development</v>
      </c>
      <c r="D397" t="str">
        <v>Complete</v>
      </c>
      <c r="E397">
        <v>45215</v>
      </c>
      <c r="F397" t="str" xml:space="preserve">
        <v xml:space="preserve">System 1-  Roof Mounted Solar PV System - 628 sq ft, 32 x 370W Modules, System Capacity: 11.84 , Wall Mounted Battery System - 10 _x000d__x000d_
System 2-  Roof Mounted Solar PV System - 255 sq ft, 13 x 370W Modules, System Capacity: 4.81 </v>
      </c>
      <c r="G397">
        <v>11.84</v>
      </c>
      <c r="H397" t="str">
        <v>Residential</v>
      </c>
      <c r="I397">
        <v>45145</v>
      </c>
      <c r="J397">
        <v>45462</v>
      </c>
      <c r="K397" t="str">
        <v>Hamilton</v>
      </c>
      <c r="L397">
        <v>47042</v>
      </c>
      <c r="M397">
        <v>45453</v>
      </c>
      <c r="N397" t="str">
        <v/>
      </c>
      <c r="O397" t="str">
        <v>Yes</v>
      </c>
      <c r="P397">
        <v>32.333267</v>
      </c>
      <c r="Q397">
        <v>-64.70207</v>
      </c>
    </row>
    <row r="398" xml:space="preserve">
      <c r="A398" t="str">
        <v>BR0169-23</v>
      </c>
      <c r="B398" t="str" xml:space="preserve">
        <v xml:space="preserve">1 Marshall Island_x000d__x000d_
Warwick, BM WK05</v>
      </c>
      <c r="C398" t="str">
        <v>Building - Residential</v>
      </c>
      <c r="D398" t="str">
        <v>Complete</v>
      </c>
      <c r="E398">
        <v>45215</v>
      </c>
      <c r="F398" t="str" xml:space="preserve">
        <v xml:space="preserve">2x Ground Mounted Solar PV Systems - 3418 sq ft_x000d__x000d_
#1 Marshall Island System:_x000d__x000d_
84x370W Modules _x000d__x000d_
System Capacity: 31.08 _x000d__x000d_
1650 sq ft_x000d__x000d_
_x000d__x000d_
#3 Marshall Island System:_x000d__x000d_
90x370W Modules_x000d__x000d_
System Capacity: 33.3 _x000d__x000d_
1768 sq ft</v>
      </c>
      <c r="G398">
        <v>64.38</v>
      </c>
      <c r="H398" t="str">
        <v>Building Residential</v>
      </c>
      <c r="I398">
        <v>45163</v>
      </c>
      <c r="J398">
        <v>45265</v>
      </c>
      <c r="K398" t="str">
        <v>Warwick</v>
      </c>
      <c r="L398">
        <v>47042</v>
      </c>
      <c r="M398">
        <v>45261</v>
      </c>
      <c r="N398" t="str">
        <v/>
      </c>
      <c r="O398" t="str">
        <v>Yes</v>
      </c>
      <c r="P398">
        <v>32.269346975</v>
      </c>
      <c r="Q398">
        <v>-64.807804025</v>
      </c>
    </row>
    <row r="399" xml:space="preserve">
      <c r="A399" t="str">
        <v>B0306-23</v>
      </c>
      <c r="B399" t="str" xml:space="preserve">
        <v xml:space="preserve">48 Happy Valley Road_x000d__x000d_
Pembroke, BM HM20</v>
      </c>
      <c r="C399" t="str">
        <v>Permitted Development</v>
      </c>
      <c r="D399" t="str">
        <v>Complete</v>
      </c>
      <c r="E399">
        <v>45215</v>
      </c>
      <c r="F399" t="str">
        <v>Roof Mounted Solar PV System - 527 sq ft,27 x 360W Modules, System Capacity: 9.72</v>
      </c>
      <c r="G399">
        <v>9.72</v>
      </c>
      <c r="H399" t="str">
        <v>Residential</v>
      </c>
      <c r="I399">
        <v>45118</v>
      </c>
      <c r="J399">
        <v>45247</v>
      </c>
      <c r="K399" t="str">
        <v>Pembroke</v>
      </c>
      <c r="L399">
        <v>47042</v>
      </c>
      <c r="M399">
        <v>45247</v>
      </c>
      <c r="N399" t="str">
        <v/>
      </c>
      <c r="O399" t="str">
        <v>Yes</v>
      </c>
      <c r="P399">
        <v>32.297571</v>
      </c>
      <c r="Q399">
        <v>-64.772474</v>
      </c>
    </row>
    <row r="400" xml:space="preserve">
      <c r="A400" t="str">
        <v>B0350-23</v>
      </c>
      <c r="B400" t="str" xml:space="preserve">
        <v xml:space="preserve">4 Third Avenue_x000d__x000d_
Warwick, BM WK02</v>
      </c>
      <c r="C400" t="str">
        <v>Permitted Development</v>
      </c>
      <c r="D400" t="str">
        <v>Complete</v>
      </c>
      <c r="E400">
        <v>45218</v>
      </c>
      <c r="F400" t="str">
        <v xml:space="preserve">Roof Mounted Solar PV System - 471 sq ft, 24 X 370W Modules, System Capacity: 8.88 </v>
      </c>
      <c r="G400">
        <v>8.88</v>
      </c>
      <c r="H400" t="str">
        <v>Residential</v>
      </c>
      <c r="I400">
        <v>45138</v>
      </c>
      <c r="J400">
        <v>45265</v>
      </c>
      <c r="K400" t="str">
        <v>Warwick</v>
      </c>
      <c r="L400">
        <v>47044</v>
      </c>
      <c r="M400">
        <v>45247</v>
      </c>
      <c r="N400" t="str">
        <v/>
      </c>
      <c r="O400" t="str">
        <v>Yes</v>
      </c>
      <c r="P400">
        <v>32.259293</v>
      </c>
      <c r="Q400">
        <v>-64.813778</v>
      </c>
    </row>
    <row r="401" xml:space="preserve">
      <c r="A401" t="str">
        <v>B0405-23</v>
      </c>
      <c r="B401" t="str" xml:space="preserve">
        <v xml:space="preserve">13 Devondale Drive_x000d__x000d_
Devonshire, BM DV07</v>
      </c>
      <c r="C401" t="str">
        <v>Permitted Development</v>
      </c>
      <c r="D401" t="str">
        <v>Complete</v>
      </c>
      <c r="E401">
        <v>45219</v>
      </c>
      <c r="F401" t="str">
        <v xml:space="preserve">Solar PV System: 17 Panels @ 405 w/Panel; 19.9 sq ft/Panel; Total sq ft 338.3; Total System Capacity 6.89 ; Total Annual Output 9,983 </v>
      </c>
      <c r="G401">
        <v>6.89</v>
      </c>
      <c r="H401" t="str">
        <v>Residential</v>
      </c>
      <c r="I401">
        <v>45208</v>
      </c>
      <c r="J401">
        <v>45278</v>
      </c>
      <c r="K401" t="str">
        <v>Devonshire</v>
      </c>
      <c r="L401">
        <v>47045</v>
      </c>
      <c r="M401">
        <v>45274</v>
      </c>
      <c r="N401" t="str">
        <v/>
      </c>
      <c r="O401" t="str">
        <v>Yes</v>
      </c>
      <c r="P401">
        <v>32.295862</v>
      </c>
      <c r="Q401">
        <v>-64.751285</v>
      </c>
    </row>
    <row r="402" xml:space="preserve">
      <c r="A402" t="str">
        <v>B0406-23</v>
      </c>
      <c r="B402" t="str" xml:space="preserve">
        <v xml:space="preserve">131 Middle Road_x000d__x000d_
Southampton, BM SN01</v>
      </c>
      <c r="C402" t="str">
        <v>Permitted Development</v>
      </c>
      <c r="D402" t="str">
        <v>Complete</v>
      </c>
      <c r="E402">
        <v>45219</v>
      </c>
      <c r="F402" t="str">
        <v xml:space="preserve">Solar PV System: 23 Panels @ 405 w/Panel; 19.9 sq ft/Panel; Total sq ft 457.7; Total System Capacity 9.32 ; Total Annual Output 13,507 </v>
      </c>
      <c r="G402">
        <v>9.32</v>
      </c>
      <c r="H402" t="str">
        <v>Residential</v>
      </c>
      <c r="I402">
        <v>45208</v>
      </c>
      <c r="J402">
        <v>45334</v>
      </c>
      <c r="K402" t="str">
        <v>Southampton</v>
      </c>
      <c r="L402">
        <v>47045</v>
      </c>
      <c r="M402">
        <v>45331</v>
      </c>
      <c r="N402" t="str">
        <v/>
      </c>
      <c r="O402" t="str">
        <v>Yes</v>
      </c>
      <c r="P402">
        <v>32.254156</v>
      </c>
      <c r="Q402">
        <v>-64.845994</v>
      </c>
    </row>
    <row r="403" xml:space="preserve">
      <c r="A403" t="str">
        <v>B0308-23</v>
      </c>
      <c r="B403" t="str" xml:space="preserve">
        <v xml:space="preserve">10 Chapel Lane_x000d__x000d_
Paget, BM PG02</v>
      </c>
      <c r="C403" t="str">
        <v>Permitted Development</v>
      </c>
      <c r="D403" t="str">
        <v>Complete</v>
      </c>
      <c r="E403">
        <v>45219</v>
      </c>
      <c r="F403" t="str">
        <v>Roof Mounted Solar PV System - 354 sq ft., 18 x 370W Modules, System Capacity: 6.66</v>
      </c>
      <c r="G403">
        <v>6.66</v>
      </c>
      <c r="H403" t="str">
        <v>Residential</v>
      </c>
      <c r="I403">
        <v>45118</v>
      </c>
      <c r="J403">
        <v>45219</v>
      </c>
      <c r="K403" t="str">
        <v>Paget</v>
      </c>
      <c r="L403">
        <v>47045</v>
      </c>
      <c r="M403">
        <v>45343</v>
      </c>
      <c r="N403" t="str">
        <v/>
      </c>
      <c r="O403" t="str">
        <v>Yes</v>
      </c>
      <c r="P403">
        <v>32.281384</v>
      </c>
      <c r="Q403">
        <v>-64.783375</v>
      </c>
    </row>
    <row r="404" xml:space="preserve">
      <c r="A404" t="str">
        <v>B0230-23</v>
      </c>
      <c r="B404" t="str" xml:space="preserve">
        <v xml:space="preserve">76 North Shore Road_x000d__x000d_
Hamilton, BM CR01</v>
      </c>
      <c r="C404" t="str">
        <v>Permitted Development</v>
      </c>
      <c r="D404" t="str">
        <v>Complete</v>
      </c>
      <c r="E404">
        <v>45219</v>
      </c>
      <c r="F404" t="str">
        <v>Proposed Roof Mounted Solar Panels , 532 sq. ft. Total, 19sq. ft. Per Panel, 28 Panels x 400W, 11.2 System Output. *Revision 1: Removed two solar panels. (26 total remaining). 494 sq. ft. total, 19 sq. ft. per panel, 26 panels x 400w; 10.4  system output.</v>
      </c>
      <c r="G404">
        <v>10.4</v>
      </c>
      <c r="H404" t="str">
        <v>Residential</v>
      </c>
      <c r="I404">
        <v>45070</v>
      </c>
      <c r="J404">
        <v>45510</v>
      </c>
      <c r="K404" t="str">
        <v>Hamilton</v>
      </c>
      <c r="L404">
        <v>47045</v>
      </c>
      <c r="M404">
        <v>45449</v>
      </c>
      <c r="N404" t="str">
        <v/>
      </c>
      <c r="O404" t="str">
        <v>Yes</v>
      </c>
      <c r="P404">
        <v>32.333792</v>
      </c>
      <c r="Q404">
        <v>-64.737172</v>
      </c>
    </row>
    <row r="405" xml:space="preserve">
      <c r="A405" t="str">
        <v>B0307-23</v>
      </c>
      <c r="B405" t="str" xml:space="preserve">
        <v xml:space="preserve">18 Ord Road_x000d__x000d_
Warwick, BM WK08</v>
      </c>
      <c r="C405" t="str">
        <v>Permitted Development</v>
      </c>
      <c r="D405" t="str">
        <v>Complete</v>
      </c>
      <c r="E405">
        <v>45219</v>
      </c>
      <c r="F405" t="str">
        <v>Roof Mounted Solar PV System - 412 sq ft., 21 x 370W Modules, System Capacity: 7.77 *Revision 1: relocate 5 panel array from one roof to another - same system details to previous</v>
      </c>
      <c r="G405">
        <v>7.77</v>
      </c>
      <c r="H405" t="str">
        <v>Residential</v>
      </c>
      <c r="I405">
        <v>45118</v>
      </c>
      <c r="J405">
        <v>45303</v>
      </c>
      <c r="K405" t="str">
        <v>Warwick</v>
      </c>
      <c r="L405">
        <v>47045</v>
      </c>
      <c r="M405">
        <v>45300</v>
      </c>
      <c r="N405" t="str">
        <v/>
      </c>
      <c r="O405" t="str">
        <v>Yes</v>
      </c>
      <c r="P405">
        <v>32.271113</v>
      </c>
      <c r="Q405">
        <v>-64.799826</v>
      </c>
    </row>
    <row r="406" xml:space="preserve">
      <c r="A406" t="str">
        <v>B0343-23</v>
      </c>
      <c r="B406" t="str" xml:space="preserve">
        <v xml:space="preserve">3 Rocky Ridge Road_x000d__x000d_
Smiths, BM HS02</v>
      </c>
      <c r="C406" t="str">
        <v>Permitted Development</v>
      </c>
      <c r="D406" t="str">
        <v>Complete</v>
      </c>
      <c r="E406">
        <v>45219</v>
      </c>
      <c r="F406" t="str">
        <v xml:space="preserve">Roof Mounted Solar PV System - 393 sq ft., 20 X 370W Modules, System Capacity: 7.4 </v>
      </c>
      <c r="G406">
        <v>7.4</v>
      </c>
      <c r="H406" t="str">
        <v>Residential</v>
      </c>
      <c r="I406">
        <v>45138</v>
      </c>
      <c r="J406">
        <v>45313</v>
      </c>
      <c r="K406" t="str">
        <v>Smiths</v>
      </c>
      <c r="L406">
        <v>47045</v>
      </c>
      <c r="M406">
        <v>45293</v>
      </c>
      <c r="N406" t="str">
        <v/>
      </c>
      <c r="O406" t="str">
        <v>Yes</v>
      </c>
      <c r="P406">
        <v>32.325582</v>
      </c>
      <c r="Q406">
        <v>-64.714805</v>
      </c>
    </row>
    <row r="407" xml:space="preserve">
      <c r="A407" t="str">
        <v>B0225-23</v>
      </c>
      <c r="B407" t="str" xml:space="preserve">
        <v xml:space="preserve">10 Hidden Cove Lane_x000d__x000d_
Hamilton, BM CR04</v>
      </c>
      <c r="C407" t="str">
        <v>Permitted Development</v>
      </c>
      <c r="D407" t="str">
        <v>Complete</v>
      </c>
      <c r="E407">
        <v>45219</v>
      </c>
      <c r="F407" t="str">
        <v xml:space="preserve">Roof Mounted Solar PV System - 570 sq ft., 29 X 370W Modules, System Capacity: 10.73 </v>
      </c>
      <c r="G407">
        <v>10.73</v>
      </c>
      <c r="H407" t="str">
        <v>Residential</v>
      </c>
      <c r="I407">
        <v>45069</v>
      </c>
      <c r="J407">
        <v>45266</v>
      </c>
      <c r="K407" t="str">
        <v>Hamilton</v>
      </c>
      <c r="L407">
        <v>47045</v>
      </c>
      <c r="M407">
        <v>45259</v>
      </c>
      <c r="N407" t="str">
        <v/>
      </c>
      <c r="O407" t="str">
        <v>Yes</v>
      </c>
      <c r="P407">
        <v>32.344422</v>
      </c>
      <c r="Q407">
        <v>-64.70948</v>
      </c>
    </row>
    <row r="408" xml:space="preserve">
      <c r="A408" t="str">
        <v>B0311-23</v>
      </c>
      <c r="B408" t="str" xml:space="preserve">
        <v xml:space="preserve">13 Grape Bay Drive_x000d__x000d_
Paget, BM PG06</v>
      </c>
      <c r="C408" t="str">
        <v>Permitted Development</v>
      </c>
      <c r="D408" t="str">
        <v>Complete</v>
      </c>
      <c r="E408">
        <v>45219</v>
      </c>
      <c r="F408" t="str">
        <v>Roof Mounted Solar PV System - 354 sq ft., 18 x 370W Modules, System Capacity: 6.66  *Revision 1: addition of 6 PV modules to system Totals: 24x370W modules; System Capacity: 8.88; Total sqft: 471sf</v>
      </c>
      <c r="G408">
        <v>8.88</v>
      </c>
      <c r="H408" t="str">
        <v>Residential</v>
      </c>
      <c r="I408">
        <v>45118</v>
      </c>
      <c r="J408">
        <v>45343</v>
      </c>
      <c r="K408" t="str">
        <v>Paget</v>
      </c>
      <c r="L408">
        <v>47045</v>
      </c>
      <c r="M408">
        <v>45338</v>
      </c>
      <c r="N408" t="str">
        <v/>
      </c>
      <c r="O408" t="str">
        <v>Yes</v>
      </c>
      <c r="P408">
        <v>32.2836747</v>
      </c>
      <c r="Q408">
        <v>-64.7709035</v>
      </c>
    </row>
    <row r="409" xml:space="preserve">
      <c r="A409" t="str">
        <v>B0322-23</v>
      </c>
      <c r="B409" t="str" xml:space="preserve">
        <v xml:space="preserve">6 Mill Reach Lane_x000d__x000d_
Pembroke, BM HM05</v>
      </c>
      <c r="C409" t="str">
        <v>Permitted Development</v>
      </c>
      <c r="D409" t="str">
        <v>Complete</v>
      </c>
      <c r="E409">
        <v>45226</v>
      </c>
      <c r="F409" t="str">
        <v>Proposed Roof Mounted Solar System. 33 Modules @ 490W/module; 16.17 DC, 832,26 sq ft Area. Estimated Annual Yield; 22,310 .</v>
      </c>
      <c r="G409">
        <v>16.17</v>
      </c>
      <c r="H409" t="str">
        <v>Commercial</v>
      </c>
      <c r="I409">
        <v>45127</v>
      </c>
      <c r="J409">
        <v>45618</v>
      </c>
      <c r="K409" t="str">
        <v>Pembroke</v>
      </c>
      <c r="L409">
        <v>47052</v>
      </c>
      <c r="M409">
        <v>45576</v>
      </c>
      <c r="N409" t="str">
        <v/>
      </c>
      <c r="O409" t="str">
        <v>Yes</v>
      </c>
      <c r="P409">
        <v>32.299117</v>
      </c>
      <c r="Q409">
        <v>-64.799605</v>
      </c>
    </row>
    <row r="410" xml:space="preserve">
      <c r="A410" t="str">
        <v>B0374-23</v>
      </c>
      <c r="B410" t="str" xml:space="preserve">
        <v xml:space="preserve">5 Desilva Drive_x000d__x000d_
Warwick, BM WK10</v>
      </c>
      <c r="C410" t="str">
        <v>Permitted Development</v>
      </c>
      <c r="D410" t="str">
        <v>Complete</v>
      </c>
      <c r="E410">
        <v>45226</v>
      </c>
      <c r="F410" t="str">
        <v>Roof Mounted Solar System. 18 SIL370 HC modules. 370w ea. 6,660w total. 19.65sf ea. 353sf total. Estimated annual yield, 8.493h. 1 SolarEdge 10h battery. *Revision 1: Relocation of two modules. Total count remains 18</v>
      </c>
      <c r="G410">
        <v>6.66</v>
      </c>
      <c r="H410" t="str">
        <v>Residential</v>
      </c>
      <c r="I410">
        <v>45160</v>
      </c>
      <c r="J410">
        <v>45343</v>
      </c>
      <c r="K410" t="str">
        <v>Warwick</v>
      </c>
      <c r="L410">
        <v>47052</v>
      </c>
      <c r="M410">
        <v>45338</v>
      </c>
      <c r="N410" t="str">
        <v/>
      </c>
      <c r="O410" t="str">
        <v>Yes</v>
      </c>
      <c r="P410">
        <v>32.2692295</v>
      </c>
      <c r="Q410">
        <v>-64.7922798</v>
      </c>
    </row>
    <row r="411" xml:space="preserve">
      <c r="A411" t="str">
        <v>B0345-23</v>
      </c>
      <c r="B411" t="str" xml:space="preserve">
        <v xml:space="preserve">4 Bellevue Lane_x000d__x000d_
Paget, BM PG06</v>
      </c>
      <c r="C411" t="str">
        <v>Permitted Development</v>
      </c>
      <c r="D411" t="str">
        <v>Complete</v>
      </c>
      <c r="E411">
        <v>45226</v>
      </c>
      <c r="F411" t="str">
        <v xml:space="preserve">Roof Mounted Solar PV System - 393 sq ft., 20 x 370W Modules, System Capacity: 7.4 </v>
      </c>
      <c r="G411">
        <v>7.4</v>
      </c>
      <c r="H411" t="str">
        <v>Residential</v>
      </c>
      <c r="I411">
        <v>45138</v>
      </c>
      <c r="J411">
        <v>45265</v>
      </c>
      <c r="K411" t="str">
        <v>Paget</v>
      </c>
      <c r="L411">
        <v>47052</v>
      </c>
      <c r="M411">
        <v>45260</v>
      </c>
      <c r="N411" t="str">
        <v/>
      </c>
      <c r="O411" t="str">
        <v>Yes</v>
      </c>
      <c r="P411">
        <v>32.284535</v>
      </c>
      <c r="Q411">
        <v>-64.767473</v>
      </c>
    </row>
    <row r="412" xml:space="preserve">
      <c r="A412" t="str">
        <v>BR0009-23</v>
      </c>
      <c r="B412" t="str" xml:space="preserve">
        <v xml:space="preserve">1 Green View Lane_x000d__x000d_
Smiths, BM FL05</v>
      </c>
      <c r="C412" t="str">
        <v>Building - Residential</v>
      </c>
      <c r="D412" t="str">
        <v>Issued</v>
      </c>
      <c r="E412">
        <v>45236</v>
      </c>
      <c r="F412" t="str">
        <v>Proposed Roof Mounted Solar PV System (18 Panels, 250W/Panel, 324 sq. ft., 4.5 Total)</v>
      </c>
      <c r="G412">
        <v>4.5</v>
      </c>
      <c r="H412" t="str">
        <v>Building Residential</v>
      </c>
      <c r="I412">
        <v>44943</v>
      </c>
      <c r="J412" t="str">
        <v/>
      </c>
      <c r="K412" t="str">
        <v>Smiths</v>
      </c>
      <c r="L412">
        <v>47063</v>
      </c>
      <c r="M412">
        <v>46122</v>
      </c>
      <c r="N412" t="str">
        <v/>
      </c>
      <c r="O412" t="str">
        <v>Yes</v>
      </c>
      <c r="P412">
        <v>32.306914</v>
      </c>
      <c r="Q412">
        <v>-64.737264</v>
      </c>
    </row>
    <row r="413" xml:space="preserve">
      <c r="A413" t="str">
        <v>B0437-23</v>
      </c>
      <c r="B413" t="str" xml:space="preserve">
        <v xml:space="preserve">11 Jennings Bay Road_x000d__x000d_
Southampton, BM SB04</v>
      </c>
      <c r="C413" t="str">
        <v>Permitted Development</v>
      </c>
      <c r="D413" t="str">
        <v>Complete</v>
      </c>
      <c r="E413">
        <v>45237</v>
      </c>
      <c r="F413" t="str">
        <v>Solar PV System: 26 panels @ 405 W/panel; 19.9 sq ft/panel; Total sq ft 517.4; Total system capacity 10.53 ; Total annual output 15,269 h | 1 Tesla Powerwall @ 13.5 /Powerwall; Total battery capacity 13.5 h; 4.46 sq ft/Powerwall; Total sq ft 4.46</v>
      </c>
      <c r="G413">
        <v>10.53</v>
      </c>
      <c r="H413" t="str">
        <v>Residential</v>
      </c>
      <c r="I413">
        <v>45232</v>
      </c>
      <c r="J413">
        <v>45303</v>
      </c>
      <c r="K413" t="str">
        <v>Southampton</v>
      </c>
      <c r="L413">
        <v>47063</v>
      </c>
      <c r="M413">
        <v>45300</v>
      </c>
      <c r="N413" t="str">
        <v/>
      </c>
      <c r="O413" t="str">
        <v>Yes</v>
      </c>
      <c r="P413">
        <v>32.258053</v>
      </c>
      <c r="Q413">
        <v>-64.864192</v>
      </c>
    </row>
    <row r="414" xml:space="preserve">
      <c r="A414" t="str">
        <v>B0347-23</v>
      </c>
      <c r="B414" t="str" xml:space="preserve">
        <v xml:space="preserve">29 Harrington Hundreds Road_x000d__x000d_
Smiths, BM FL08</v>
      </c>
      <c r="C414" t="str">
        <v>Permitted Development</v>
      </c>
      <c r="D414" t="str">
        <v>Complete</v>
      </c>
      <c r="E414">
        <v>45237</v>
      </c>
      <c r="F414" t="str">
        <v xml:space="preserve">Roof Mounted Solar PV System - 275 sq ft,14 x 370W Modules, System Capacity: 5.18 </v>
      </c>
      <c r="G414">
        <v>5.18</v>
      </c>
      <c r="H414" t="str">
        <v>Residential</v>
      </c>
      <c r="I414">
        <v>45138</v>
      </c>
      <c r="J414">
        <v>45334</v>
      </c>
      <c r="K414" t="str">
        <v>Smiths</v>
      </c>
      <c r="L414">
        <v>47063</v>
      </c>
      <c r="M414">
        <v>45322</v>
      </c>
      <c r="N414" t="str">
        <v/>
      </c>
      <c r="O414" t="str">
        <v>Yes</v>
      </c>
      <c r="P414">
        <v>32.317249</v>
      </c>
      <c r="Q414">
        <v>-64.72373</v>
      </c>
    </row>
    <row r="415" xml:space="preserve">
      <c r="A415" t="str">
        <v>B0354-23</v>
      </c>
      <c r="B415" t="str" xml:space="preserve">
        <v xml:space="preserve">68 North Shore Road_x000d__x000d_
Pembroke, BM HM13</v>
      </c>
      <c r="C415" t="str">
        <v>Permitted Development</v>
      </c>
      <c r="D415" t="str">
        <v>Complete</v>
      </c>
      <c r="E415">
        <v>45240</v>
      </c>
      <c r="F415" t="str">
        <v xml:space="preserve">Roof Mounted Solar PV System - 275 sq ft.,  14 X Aptos 370W Modules, System Capacity: 5.18 </v>
      </c>
      <c r="G415">
        <v>5.18</v>
      </c>
      <c r="H415" t="str">
        <v>Residential</v>
      </c>
      <c r="I415">
        <v>45144</v>
      </c>
      <c r="J415">
        <v>45559</v>
      </c>
      <c r="K415" t="str">
        <v>Pembroke</v>
      </c>
      <c r="L415">
        <v>47066</v>
      </c>
      <c r="M415">
        <v>45555</v>
      </c>
      <c r="N415" t="str">
        <v/>
      </c>
      <c r="O415" t="str">
        <v>Yes</v>
      </c>
      <c r="P415">
        <v>32.3050604</v>
      </c>
      <c r="Q415">
        <v>-64.7911956</v>
      </c>
    </row>
    <row r="416" xml:space="preserve">
      <c r="A416" t="str">
        <v>B0356-23</v>
      </c>
      <c r="B416" t="str" xml:space="preserve">
        <v xml:space="preserve">4 Rose Glen_x000d__x000d_
Warwick, BM WK06</v>
      </c>
      <c r="C416" t="str">
        <v>Permitted Development</v>
      </c>
      <c r="D416" t="str">
        <v>Issued</v>
      </c>
      <c r="E416">
        <v>45240</v>
      </c>
      <c r="F416" t="str">
        <v>Roof Mounted Solar PV System - 412 sq ft., 21 X 370W Modules, System Capacity: 7.77</v>
      </c>
      <c r="G416">
        <v>7.77</v>
      </c>
      <c r="H416" t="str">
        <v>Residential</v>
      </c>
      <c r="I416">
        <v>45144</v>
      </c>
      <c r="J416">
        <v>45387</v>
      </c>
      <c r="K416" t="str">
        <v>Warwick</v>
      </c>
      <c r="L416">
        <v>47066</v>
      </c>
      <c r="M416">
        <v>45364</v>
      </c>
      <c r="N416" t="str">
        <v/>
      </c>
      <c r="O416" t="str">
        <v>Yes</v>
      </c>
      <c r="P416">
        <v>32.273458</v>
      </c>
      <c r="Q416">
        <v>-64.805023</v>
      </c>
    </row>
    <row r="417" xml:space="preserve">
      <c r="A417" t="str">
        <v>B0355-23</v>
      </c>
      <c r="B417" t="str" xml:space="preserve">
        <v xml:space="preserve">91 Harrington Sound Road_x000d__x000d_
Smiths, BM HS02</v>
      </c>
      <c r="C417" t="str">
        <v>Permitted Development</v>
      </c>
      <c r="D417" t="str">
        <v>Complete</v>
      </c>
      <c r="E417">
        <v>45240</v>
      </c>
      <c r="F417" t="str">
        <v xml:space="preserve">Roof Mounted Solar PV System - 275 sq ft, 14 X 370W Modules, System Capacity: 5.18 </v>
      </c>
      <c r="G417">
        <v>5.18</v>
      </c>
      <c r="H417" t="str">
        <v>Residential</v>
      </c>
      <c r="I417">
        <v>45144</v>
      </c>
      <c r="J417">
        <v>45287</v>
      </c>
      <c r="K417" t="str">
        <v>Smiths</v>
      </c>
      <c r="L417">
        <v>47066</v>
      </c>
      <c r="M417">
        <v>45275</v>
      </c>
      <c r="N417" t="str">
        <v/>
      </c>
      <c r="O417" t="str">
        <v>Yes</v>
      </c>
      <c r="P417">
        <v>32.324435</v>
      </c>
      <c r="Q417">
        <v>-64.715038</v>
      </c>
    </row>
    <row r="418" xml:space="preserve">
      <c r="A418" t="str">
        <v>B0431-23</v>
      </c>
      <c r="B418" t="str" xml:space="preserve">
        <v xml:space="preserve">8 Holly Lane_x000d__x000d_
Smiths, BM FL04</v>
      </c>
      <c r="C418" t="str">
        <v>Permitted Development</v>
      </c>
      <c r="D418" t="str">
        <v>Complete</v>
      </c>
      <c r="E418">
        <v>45246</v>
      </c>
      <c r="F418" t="str">
        <v>ADDITION OF SOLAR PV TO EXISTING ROOF MOUNTED SYSTEM. 10 370W MODULES, 3700W TOTAL. MODULE AREA 19.65SF. 196.5SF TOTAL ESTIMATED ANNUAL YIELD, 5,500. 1 10K SOLAREDGE BATTERY</v>
      </c>
      <c r="G418">
        <v>10.37</v>
      </c>
      <c r="H418" t="str">
        <v>Residential</v>
      </c>
      <c r="I418">
        <v>45229</v>
      </c>
      <c r="J418">
        <v>45519</v>
      </c>
      <c r="K418" t="str">
        <v>Smiths</v>
      </c>
      <c r="L418">
        <v>47072</v>
      </c>
      <c r="M418">
        <v>45315</v>
      </c>
      <c r="N418" t="str">
        <v/>
      </c>
      <c r="O418" t="str">
        <v>Yes</v>
      </c>
      <c r="P418">
        <v>32.320226</v>
      </c>
      <c r="Q418">
        <v>-64.7395011</v>
      </c>
    </row>
    <row r="419" xml:space="preserve">
      <c r="A419" t="str">
        <v>BR0161-23</v>
      </c>
      <c r="B419" t="str" xml:space="preserve">
        <v xml:space="preserve">15 Middle Road_x000d__x000d_
Paget, BM PG01, Bermuda</v>
      </c>
      <c r="C419" t="str">
        <v>Building - Residential</v>
      </c>
      <c r="D419" t="str">
        <v>Complete</v>
      </c>
      <c r="E419">
        <v>45251</v>
      </c>
      <c r="F419" t="str">
        <v xml:space="preserve">Roof Mounted Solar PV System - 314 sq ft, 16x365W Modules, System Capacity: 5.84 </v>
      </c>
      <c r="G419">
        <v>5.84</v>
      </c>
      <c r="H419" t="str">
        <v>Building Residential</v>
      </c>
      <c r="I419">
        <v>45155</v>
      </c>
      <c r="J419">
        <v>45303</v>
      </c>
      <c r="K419" t="str">
        <v>Paget</v>
      </c>
      <c r="L419">
        <v>47077</v>
      </c>
      <c r="M419">
        <v>45301</v>
      </c>
      <c r="N419" t="str">
        <v/>
      </c>
      <c r="O419" t="str">
        <v>Yes</v>
      </c>
      <c r="P419">
        <v>32.2796943</v>
      </c>
      <c r="Q419">
        <v>-64.78902</v>
      </c>
    </row>
    <row r="420" xml:space="preserve">
      <c r="A420" t="str">
        <v>B0429-23</v>
      </c>
      <c r="B420" t="str" xml:space="preserve">
        <v xml:space="preserve">8 Tablerock Avenue_x000d__x000d_
Pembroke, BM HM04</v>
      </c>
      <c r="C420" t="str">
        <v>Permitted Development</v>
      </c>
      <c r="D420" t="str">
        <v>Complete</v>
      </c>
      <c r="E420">
        <v>45251</v>
      </c>
      <c r="F420" t="str">
        <v>Roof Top Solar, 10 - 345W PV Modules, (3.45 ), Annual Production 5,060h, Total Area 202 Square Feet.</v>
      </c>
      <c r="G420">
        <v>3.45</v>
      </c>
      <c r="H420" t="str">
        <v>Residential</v>
      </c>
      <c r="I420">
        <v>45225</v>
      </c>
      <c r="J420">
        <v>45351</v>
      </c>
      <c r="K420" t="str">
        <v>Pembroke</v>
      </c>
      <c r="L420">
        <v>47077</v>
      </c>
      <c r="M420">
        <v>45345</v>
      </c>
      <c r="N420" t="str">
        <v/>
      </c>
      <c r="O420" t="str">
        <v>Yes</v>
      </c>
      <c r="P420">
        <v>32.303055</v>
      </c>
      <c r="Q420">
        <v>-64.797524</v>
      </c>
    </row>
    <row r="421" xml:space="preserve">
      <c r="A421" t="str">
        <v>B0427-23</v>
      </c>
      <c r="B421" t="str" xml:space="preserve">
        <v xml:space="preserve">13 Shaw Wood Road_x000d__x000d_
Pembroke, BM HM01</v>
      </c>
      <c r="C421" t="str">
        <v>Permitted Development</v>
      </c>
      <c r="D421" t="str">
        <v>Complete</v>
      </c>
      <c r="E421">
        <v>45251</v>
      </c>
      <c r="F421" t="str">
        <v>Roof Top Solar, 40 - 395W PV Modules, (15.8 ), Annual Production 24,030 h, Total Area 887 Square Feet.</v>
      </c>
      <c r="G421">
        <v>15.8</v>
      </c>
      <c r="H421" t="str">
        <v>Residential</v>
      </c>
      <c r="I421">
        <v>45225</v>
      </c>
      <c r="J421">
        <v>45296</v>
      </c>
      <c r="K421" t="str">
        <v>Pembroke</v>
      </c>
      <c r="L421">
        <v>47077</v>
      </c>
      <c r="M421">
        <v>45294</v>
      </c>
      <c r="N421" t="str">
        <v/>
      </c>
      <c r="O421" t="str">
        <v>Yes</v>
      </c>
      <c r="P421">
        <v>32.30306</v>
      </c>
      <c r="Q421">
        <v>-64.810748</v>
      </c>
    </row>
    <row r="422" xml:space="preserve">
      <c r="A422" t="str">
        <v>B0428-23</v>
      </c>
      <c r="B422" t="str" xml:space="preserve">
        <v xml:space="preserve">11 Agar's Island_x000d__x000d_
Pembroke, BM HM05</v>
      </c>
      <c r="C422" t="str">
        <v>Permitted Development</v>
      </c>
      <c r="D422" t="str">
        <v>Complete</v>
      </c>
      <c r="E422">
        <v>45251</v>
      </c>
      <c r="F422" t="str">
        <v>Roof Top Solar, 32 - 345W PV Modules, (11.0), Annual Production 14,030h, Total Area 644 Square Feet.</v>
      </c>
      <c r="G422">
        <v>11</v>
      </c>
      <c r="H422" t="str">
        <v>Residential</v>
      </c>
      <c r="I422">
        <v>45225</v>
      </c>
      <c r="J422">
        <v>45407</v>
      </c>
      <c r="K422" t="str">
        <v>Pembroke</v>
      </c>
      <c r="L422">
        <v>47077</v>
      </c>
      <c r="M422">
        <v>45369</v>
      </c>
      <c r="N422" t="str">
        <v/>
      </c>
      <c r="O422" t="str">
        <v>Yes</v>
      </c>
      <c r="P422" t="str">
        <v>32.29370414931507</v>
      </c>
      <c r="Q422">
        <v>-64.8038436136986</v>
      </c>
    </row>
    <row r="423" xml:space="preserve">
      <c r="A423" t="str">
        <v>B0447-23</v>
      </c>
      <c r="B423" t="str" xml:space="preserve">
        <v xml:space="preserve">4 Windcrest Drive_x000d__x000d_
Paget, BM PG05</v>
      </c>
      <c r="C423" t="str">
        <v>Permitted Development</v>
      </c>
      <c r="D423" t="str">
        <v>Complete</v>
      </c>
      <c r="E423">
        <v>45251</v>
      </c>
      <c r="F423" t="str">
        <v>Solar PV System: 42 panels @ 405 W/panel; 19.9 sq ft/panel; Total sq ft 835.8; Total system capacity 17.01 ; Total annual output 24,665 h; *Revision 1: Panels moved to different sections of roof.</v>
      </c>
      <c r="G423">
        <v>17.01</v>
      </c>
      <c r="H423" t="str">
        <v>Residential</v>
      </c>
      <c r="I423">
        <v>45239</v>
      </c>
      <c r="J423">
        <v>45344</v>
      </c>
      <c r="K423" t="str">
        <v>Paget</v>
      </c>
      <c r="L423">
        <v>47077</v>
      </c>
      <c r="M423">
        <v>45343</v>
      </c>
      <c r="N423" t="str">
        <v/>
      </c>
      <c r="O423" t="str">
        <v>Yes</v>
      </c>
      <c r="P423">
        <v>32.289752</v>
      </c>
      <c r="Q423">
        <v>-64.768415</v>
      </c>
    </row>
    <row r="424" xml:space="preserve">
      <c r="A424" t="str">
        <v>B0446-23</v>
      </c>
      <c r="B424" t="str" xml:space="preserve">
        <v xml:space="preserve">13 Elliott Street West_x000d__x000d_
City of Hamilton, BM HM09</v>
      </c>
      <c r="C424" t="str">
        <v>Permitted Development</v>
      </c>
      <c r="D424" t="str">
        <v>Complete</v>
      </c>
      <c r="E424">
        <v>45252</v>
      </c>
      <c r="F424" t="str" xml:space="preserve">
        <v xml:space="preserve">Solar PV System: 24 panels @ 405 W/panel; 19.9 sq ft/panel; Total sq ft_x000d_
477.6; Total system capacity 9.72 ; Total annual output 14,094 h</v>
      </c>
      <c r="G424">
        <v>9.72</v>
      </c>
      <c r="H424" t="str">
        <v>Residential</v>
      </c>
      <c r="I424">
        <v>45239</v>
      </c>
      <c r="J424">
        <v>45377</v>
      </c>
      <c r="K424" t="str">
        <v>City of Hamilton</v>
      </c>
      <c r="L424">
        <v>47078</v>
      </c>
      <c r="M424">
        <v>45371</v>
      </c>
      <c r="N424" t="str">
        <v/>
      </c>
      <c r="O424" t="str">
        <v>Yes</v>
      </c>
      <c r="P424">
        <v>32.2971204</v>
      </c>
      <c r="Q424">
        <v>-64.7849699</v>
      </c>
    </row>
    <row r="425" xml:space="preserve">
      <c r="A425" t="str">
        <v>B0456-23</v>
      </c>
      <c r="B425" t="str" xml:space="preserve">
        <v xml:space="preserve">25 St. Mark's Road_x000d__x000d_
Smiths, BM FL06</v>
      </c>
      <c r="C425" t="str">
        <v>Permitted Development</v>
      </c>
      <c r="D425" t="str">
        <v>Complete</v>
      </c>
      <c r="E425">
        <v>45257</v>
      </c>
      <c r="F425" t="str">
        <v xml:space="preserve">Roof Mounted Solar PV System - 334 sq ft, 17x370W Modules, System Capacity: 6.29 </v>
      </c>
      <c r="G425">
        <v>6.29</v>
      </c>
      <c r="H425" t="str">
        <v>Residential</v>
      </c>
      <c r="I425">
        <v>45245</v>
      </c>
      <c r="J425">
        <v>45315</v>
      </c>
      <c r="K425" t="str">
        <v>Smiths</v>
      </c>
      <c r="L425">
        <v>47084</v>
      </c>
      <c r="M425">
        <v>45306</v>
      </c>
      <c r="N425" t="str">
        <v/>
      </c>
      <c r="O425" t="str">
        <v>Yes</v>
      </c>
      <c r="P425">
        <v>32.3126921</v>
      </c>
      <c r="Q425">
        <v>-64.7366104</v>
      </c>
    </row>
    <row r="426" xml:space="preserve">
      <c r="A426" t="str">
        <v>B0454-23</v>
      </c>
      <c r="B426" t="str" xml:space="preserve">
        <v xml:space="preserve">6 Skyline Road_x000d__x000d_
Smiths, BM FL08</v>
      </c>
      <c r="C426" t="str">
        <v>Permitted Development</v>
      </c>
      <c r="D426" t="str">
        <v>Complete</v>
      </c>
      <c r="E426">
        <v>45257</v>
      </c>
      <c r="F426" t="str">
        <v>Solar PV System: 18 Panels @ 405 W/Panels; 19.9 sq ft/Panel; Total sq ft 359.2; Total System 7.29 ; Total Annual Output 10,570  | Tesla Powerwall: 1 Tesla Powerwall @ 13.5 /Powerwall; Total System Capacity 13.5 ; 4.48 sq ft/Powerwall; Total sq ft 4.48</v>
      </c>
      <c r="G426">
        <v>7.29</v>
      </c>
      <c r="H426" t="str">
        <v>Residential</v>
      </c>
      <c r="I426">
        <v>45245</v>
      </c>
      <c r="J426">
        <v>45355</v>
      </c>
      <c r="K426" t="str">
        <v>Smiths</v>
      </c>
      <c r="L426">
        <v>47084</v>
      </c>
      <c r="M426">
        <v>45355</v>
      </c>
      <c r="N426" t="str">
        <v/>
      </c>
      <c r="O426" t="str">
        <v>Yes</v>
      </c>
      <c r="P426">
        <v>32.318858</v>
      </c>
      <c r="Q426">
        <v>-64.719943</v>
      </c>
    </row>
    <row r="427" xml:space="preserve">
      <c r="A427" t="str">
        <v>B0459-23</v>
      </c>
      <c r="B427" t="str" xml:space="preserve">
        <v xml:space="preserve">8 Summit View Drive_x000d__x000d_
Hamilton, BM CR03</v>
      </c>
      <c r="C427" t="str">
        <v>Permitted Development</v>
      </c>
      <c r="D427" t="str">
        <v>Issued</v>
      </c>
      <c r="E427">
        <v>45257</v>
      </c>
      <c r="F427" t="str">
        <v>Solar PV System: 12 Panels @ 405 W/Panel; 19.9 sq ft/Panel; Total sq ft 238.8; Total System Capacity 4.86 ; Total Annual Output 7,047  | Tesla Powerwall: 1 Tesla Powerwall @ 13.5 /Powerwall; Total System Capacity 13.5 ; 4.46 sq ft/Powerwall; Total sq ft 4.46</v>
      </c>
      <c r="G427">
        <v>4.86</v>
      </c>
      <c r="H427" t="str">
        <v>Residential</v>
      </c>
      <c r="I427">
        <v>45250</v>
      </c>
      <c r="J427">
        <v>45377</v>
      </c>
      <c r="K427" t="str">
        <v>Hamilton</v>
      </c>
      <c r="L427">
        <v>47084</v>
      </c>
      <c r="M427">
        <v>45366</v>
      </c>
      <c r="N427" t="str">
        <v/>
      </c>
      <c r="O427" t="str">
        <v>Yes</v>
      </c>
      <c r="P427">
        <v>32.346062</v>
      </c>
      <c r="Q427">
        <v>-64.725114</v>
      </c>
    </row>
    <row r="428" xml:space="preserve">
      <c r="A428" t="str">
        <v>B0460-23</v>
      </c>
      <c r="B428" t="str" xml:space="preserve">
        <v xml:space="preserve">6 Rosemont Avenue_x000d__x000d_
Pembroke, BM HM06</v>
      </c>
      <c r="C428" t="str">
        <v>Permitted Development</v>
      </c>
      <c r="D428" t="str">
        <v>Issued</v>
      </c>
      <c r="E428">
        <v>45257</v>
      </c>
      <c r="F428" t="str">
        <v>Solar PV System: 30 Panels @ 405 w/Panel; 19.9 sq ft/Panel; Total sq ft 597; Total System Capacity 12.15 ; Total Annual Output 17,618  | Tesla Powerwall: 2 Tesla Powerwall @ 13.5/Powerwall; Total System Capacity 27 ; 4.46 sq ft/ Powerwall; Total sq ft 8.92 *Revision 1: 3 panels moved from north flat array to the west center array to make 6 portrait panels.</v>
      </c>
      <c r="G428">
        <v>12.15</v>
      </c>
      <c r="H428" t="str">
        <v>Residential</v>
      </c>
      <c r="I428">
        <v>45251</v>
      </c>
      <c r="J428">
        <v>45455</v>
      </c>
      <c r="K428" t="str">
        <v>Pembroke</v>
      </c>
      <c r="L428">
        <v>47084</v>
      </c>
      <c r="M428">
        <v>45448</v>
      </c>
      <c r="N428" t="str">
        <v/>
      </c>
      <c r="O428" t="str">
        <v>Yes</v>
      </c>
      <c r="P428">
        <v>32.291726</v>
      </c>
      <c r="Q428">
        <v>-64.791811</v>
      </c>
    </row>
    <row r="429" xml:space="preserve">
      <c r="A429" t="str">
        <v>B0464-23</v>
      </c>
      <c r="B429" t="str" xml:space="preserve">
        <v xml:space="preserve">5 Pampas Lane_x000d__x000d_
Smiths, BM FL05</v>
      </c>
      <c r="C429" t="str">
        <v>Permitted Development</v>
      </c>
      <c r="D429" t="str">
        <v>Complete</v>
      </c>
      <c r="E429">
        <v>45261</v>
      </c>
      <c r="F429" t="str">
        <v>Roof Mounted Solar PV System - 668 sq ft, 34x370W Modules, System Capacity: 12.58 , Wall Mounted Battery System - 20 *Revision 1: relocate 1 PV module</v>
      </c>
      <c r="G429">
        <v>12.58</v>
      </c>
      <c r="H429" t="str">
        <v>Residential</v>
      </c>
      <c r="I429">
        <v>45253</v>
      </c>
      <c r="J429">
        <v>45358</v>
      </c>
      <c r="K429" t="str">
        <v>Smiths</v>
      </c>
      <c r="L429">
        <v>47087</v>
      </c>
      <c r="M429">
        <v>45358</v>
      </c>
      <c r="N429" t="str">
        <v/>
      </c>
      <c r="O429" t="str">
        <v>Yes</v>
      </c>
      <c r="P429">
        <v>32.3042233</v>
      </c>
      <c r="Q429">
        <v>-64.738753</v>
      </c>
    </row>
    <row r="430" xml:space="preserve">
      <c r="A430" t="str">
        <v>B0462-23</v>
      </c>
      <c r="B430" t="str" xml:space="preserve">
        <v xml:space="preserve">5 Acacia Lane_x000d__x000d_
Sandys, BM MA02</v>
      </c>
      <c r="C430" t="str">
        <v>Permitted Development</v>
      </c>
      <c r="D430" t="str">
        <v>Complete</v>
      </c>
      <c r="E430">
        <v>45261</v>
      </c>
      <c r="F430" t="str">
        <v>Roof Mounted Solar PV System - 196 sq ft, 10x370W Modules, System Capacity: 3.7, Wall Mounted Battery System - 10</v>
      </c>
      <c r="G430">
        <v>3.7</v>
      </c>
      <c r="H430" t="str">
        <v>Residential</v>
      </c>
      <c r="I430">
        <v>45252</v>
      </c>
      <c r="J430">
        <v>45343</v>
      </c>
      <c r="K430" t="str">
        <v>Sandys</v>
      </c>
      <c r="L430">
        <v>47087</v>
      </c>
      <c r="M430">
        <v>45328</v>
      </c>
      <c r="N430" t="str">
        <v/>
      </c>
      <c r="O430" t="str">
        <v>Yes</v>
      </c>
      <c r="P430">
        <v>32.303209</v>
      </c>
      <c r="Q430">
        <v>-64.869886</v>
      </c>
    </row>
    <row r="431" xml:space="preserve">
      <c r="A431" t="str">
        <v>BC0097-23</v>
      </c>
      <c r="B431" t="str" xml:space="preserve">
        <v xml:space="preserve">117 Middle Road_x000d__x000d_
Warwick, BM PG01</v>
      </c>
      <c r="C431" t="str">
        <v>Building - Commercial</v>
      </c>
      <c r="D431" t="str">
        <v>Complete</v>
      </c>
      <c r="E431">
        <v>45264</v>
      </c>
      <c r="F431" t="str" xml:space="preserve">
        <v xml:space="preserve">Proposed Split Level Student Sports Pavilion with Kitchen, Batooms and Viewing Terrace on Upper Level and Water Tank, Storage Rooms, Changing Rooms, Utility Room and Batooms on Lower Level, New Cesspit. and Proposed Roof Mounted Solar Panels, 28 Panels, 546 sq. ft. total; 10.5  total. (all development setbacks a minimum of 25 ft. from Boundary)_x000d_
Phase I: CONSTRUCTION OF FOUNDATIONS/GRADE SLABS OF NEW MULTI-USE SPORTS/EDUCATION PAVILION._x000d_
Phase II: Full building permit (following issuance of foundation permit). Application includes revisions to kitchen based on comments provided by health department._x000d_
*Solar PV system removed from scope of work</v>
      </c>
      <c r="G431">
        <v>10.5</v>
      </c>
      <c r="H431" t="str">
        <v>Building Commercial</v>
      </c>
      <c r="I431">
        <v>45183</v>
      </c>
      <c r="J431">
        <v>45854</v>
      </c>
      <c r="K431" t="str">
        <v>Warwick</v>
      </c>
      <c r="L431">
        <v>47091</v>
      </c>
      <c r="M431">
        <v>45814</v>
      </c>
      <c r="N431" t="str">
        <v/>
      </c>
      <c r="O431" t="str">
        <v>Yes</v>
      </c>
      <c r="P431">
        <v>32.275921</v>
      </c>
      <c r="Q431">
        <v>-64.794246</v>
      </c>
    </row>
    <row r="432" xml:space="preserve">
      <c r="A432" t="str">
        <v>B0471-23</v>
      </c>
      <c r="B432" t="str" xml:space="preserve">
        <v xml:space="preserve">18 St. Anne's Road_x000d__x000d_
Southampton, BM SN01</v>
      </c>
      <c r="C432" t="str">
        <v>Permitted Development</v>
      </c>
      <c r="D432" t="str">
        <v>Complete</v>
      </c>
      <c r="E432">
        <v>45272</v>
      </c>
      <c r="F432" t="str">
        <v>Addition of Roof Top PV Solar: 28 Modules, 370w ea. 10,360w Total. 19.65sf ea. 550.2sf Total. Estimated Annual Yield, 11,190. 1 10h Battery *Revision 1: Addition of Roof Top PV Solar modules System Total: 32 Modules, 370W ea. 11.84 Total. 19.65sf ea. 628.8sf Total. Estimated Annual Yield, 12,790. 1x 10h Battery</v>
      </c>
      <c r="G432">
        <v>11.84</v>
      </c>
      <c r="H432" t="str">
        <v>Residential</v>
      </c>
      <c r="I432">
        <v>45258</v>
      </c>
      <c r="J432">
        <v>45370</v>
      </c>
      <c r="K432" t="str">
        <v>Southampton</v>
      </c>
      <c r="L432">
        <v>47098</v>
      </c>
      <c r="M432">
        <v>45356</v>
      </c>
      <c r="N432" t="str">
        <v/>
      </c>
      <c r="O432" t="str">
        <v>Yes</v>
      </c>
      <c r="P432">
        <v>32.251447</v>
      </c>
      <c r="Q432">
        <v>-64.841925</v>
      </c>
    </row>
    <row r="433" xml:space="preserve">
      <c r="A433" t="str">
        <v>BR0162-23</v>
      </c>
      <c r="B433" t="str" xml:space="preserve">
        <v xml:space="preserve">66 Sound View Road_x000d__x000d_
Sandys, BM MA04</v>
      </c>
      <c r="C433" t="str">
        <v>Building - Residential</v>
      </c>
      <c r="D433" t="str">
        <v>Issued</v>
      </c>
      <c r="E433">
        <v>45272</v>
      </c>
      <c r="F433" t="str">
        <v>Roof Top Solar, 13 - 345W PV Modules, (4.49 ), Annual Production 6,080 , Total Area 262 Square Feet.</v>
      </c>
      <c r="G433">
        <v>4.49</v>
      </c>
      <c r="H433" t="str">
        <v>Building Residential</v>
      </c>
      <c r="I433">
        <v>45155</v>
      </c>
      <c r="J433">
        <v>45344</v>
      </c>
      <c r="K433" t="str">
        <v>Sandys</v>
      </c>
      <c r="L433">
        <v>47098</v>
      </c>
      <c r="M433">
        <v>45336</v>
      </c>
      <c r="N433" t="str">
        <v/>
      </c>
      <c r="O433" t="str">
        <v>Yes</v>
      </c>
      <c r="P433">
        <v>32.294539</v>
      </c>
      <c r="Q433">
        <v>-64.869691</v>
      </c>
    </row>
    <row r="434" xml:space="preserve">
      <c r="A434" t="str">
        <v>B0470-23</v>
      </c>
      <c r="B434" t="str" xml:space="preserve">
        <v xml:space="preserve">39 Orchard Grove_x000d__x000d_
Pembroke, BM HM16</v>
      </c>
      <c r="C434" t="str">
        <v>Permitted Development</v>
      </c>
      <c r="D434" t="str">
        <v>Issued</v>
      </c>
      <c r="E434">
        <v>45272</v>
      </c>
      <c r="F434" t="str">
        <v xml:space="preserve">Solar Installation: 17 Panels @ 405 W/Panel; 19.9 sq ft/Panel; Total System Area  338.3 sq ft; Total System Capacity 6.89 ; Total System Output 9,983 </v>
      </c>
      <c r="G434">
        <v>6.89</v>
      </c>
      <c r="H434" t="str">
        <v>Residential</v>
      </c>
      <c r="I434">
        <v>45258</v>
      </c>
      <c r="J434">
        <v>45394</v>
      </c>
      <c r="K434" t="str">
        <v>Pembroke</v>
      </c>
      <c r="L434">
        <v>47098</v>
      </c>
      <c r="M434">
        <v>45389</v>
      </c>
      <c r="N434" t="str">
        <v/>
      </c>
      <c r="O434" t="str">
        <v>Yes</v>
      </c>
      <c r="P434">
        <v>32.304322</v>
      </c>
      <c r="Q434">
        <v>-64.775162</v>
      </c>
    </row>
    <row r="435" xml:space="preserve">
      <c r="A435" t="str">
        <v>BC0135-23</v>
      </c>
      <c r="B435" t="str" xml:space="preserve">
        <v xml:space="preserve">1 Middle Road_x000d__x000d_
Sandys, BM SB02</v>
      </c>
      <c r="C435" t="str">
        <v>Building - Commercial</v>
      </c>
      <c r="D435" t="str">
        <v>Complete</v>
      </c>
      <c r="E435">
        <v>45272</v>
      </c>
      <c r="F435" t="str">
        <v>Roof Mounted Solar PV System - 281 sq ft, 12x440W Modules, System Capacity: 5.28</v>
      </c>
      <c r="G435">
        <v>5.28</v>
      </c>
      <c r="H435" t="str">
        <v>Building Commercial</v>
      </c>
      <c r="I435">
        <v>45257</v>
      </c>
      <c r="J435">
        <v>45502</v>
      </c>
      <c r="K435" t="str">
        <v>Sandys</v>
      </c>
      <c r="L435">
        <v>47098</v>
      </c>
      <c r="M435">
        <v>45461</v>
      </c>
      <c r="N435" t="str">
        <v/>
      </c>
      <c r="O435" t="str">
        <v>Yes</v>
      </c>
      <c r="P435">
        <v>32.2782539</v>
      </c>
      <c r="Q435">
        <v>-64.876743</v>
      </c>
    </row>
    <row r="436" xml:space="preserve">
      <c r="A436" t="str">
        <v>B0492-23</v>
      </c>
      <c r="B436" t="str" xml:space="preserve">
        <v xml:space="preserve">7A South Road_x000d__x000d_
Hamilton, BM HS02, Bermuda</v>
      </c>
      <c r="C436" t="str">
        <v>Permitted Development</v>
      </c>
      <c r="D436" t="str">
        <v>Complete</v>
      </c>
      <c r="E436">
        <v>45278</v>
      </c>
      <c r="F436" t="str">
        <v>Roof Mounted Solar PV System - 373 sq ft, 19x370W Modules, System Capacity: 7.03</v>
      </c>
      <c r="G436">
        <v>7.03</v>
      </c>
      <c r="H436" t="str">
        <v>Residential</v>
      </c>
      <c r="I436">
        <v>45272</v>
      </c>
      <c r="J436">
        <v>45540</v>
      </c>
      <c r="K436" t="str">
        <v>Hamilton</v>
      </c>
      <c r="L436">
        <v>47105</v>
      </c>
      <c r="M436">
        <v>45513</v>
      </c>
      <c r="N436" t="str">
        <v/>
      </c>
      <c r="O436" t="str">
        <v>Yes</v>
      </c>
      <c r="P436">
        <v>32.32589</v>
      </c>
      <c r="Q436">
        <v>-64.705543</v>
      </c>
    </row>
    <row r="437" xml:space="preserve">
      <c r="A437" t="str">
        <v>B0496-23</v>
      </c>
      <c r="B437" t="str" xml:space="preserve">
        <v xml:space="preserve">53 St. David's Road_x000d__x000d_
St. George's, BM DD01, Bermuda</v>
      </c>
      <c r="C437" t="str">
        <v>Permitted Development</v>
      </c>
      <c r="D437" t="str">
        <v>Complete</v>
      </c>
      <c r="E437">
        <v>45278</v>
      </c>
      <c r="F437" t="str">
        <v xml:space="preserve">Roof Mounted Solar PV System - 550 sq ft, 28x370W Modules, System Capacity: 10.36 </v>
      </c>
      <c r="G437">
        <v>10.36</v>
      </c>
      <c r="H437" t="str">
        <v>Residential</v>
      </c>
      <c r="I437">
        <v>45273</v>
      </c>
      <c r="J437">
        <v>45371</v>
      </c>
      <c r="K437" t="str">
        <v>St. George</v>
      </c>
      <c r="L437">
        <v>47105</v>
      </c>
      <c r="M437">
        <v>45358</v>
      </c>
      <c r="N437" t="str">
        <v/>
      </c>
      <c r="O437" t="str">
        <v>Yes</v>
      </c>
      <c r="P437">
        <v>32.3653612</v>
      </c>
      <c r="Q437">
        <v>-64.6640368</v>
      </c>
    </row>
    <row r="438" xml:space="preserve">
      <c r="A438" t="str">
        <v>B0312-23</v>
      </c>
      <c r="B438" t="str" xml:space="preserve">
        <v xml:space="preserve">7 Plaice's Point Road_x000d__x000d_
Pembroke, BM HM01</v>
      </c>
      <c r="C438" t="str">
        <v>Permitted Development</v>
      </c>
      <c r="D438" t="str">
        <v>Complete</v>
      </c>
      <c r="E438">
        <v>45278</v>
      </c>
      <c r="F438" t="str">
        <v xml:space="preserve">Roof Mounted Solar PV System - 393 sq ft, 20 x 370W Modules, System Capacity: 7.4 </v>
      </c>
      <c r="G438">
        <v>7.4</v>
      </c>
      <c r="H438" t="str">
        <v>Residential</v>
      </c>
      <c r="I438">
        <v>45118</v>
      </c>
      <c r="J438">
        <v>45364</v>
      </c>
      <c r="K438" t="str">
        <v>Pembroke</v>
      </c>
      <c r="L438">
        <v>47105</v>
      </c>
      <c r="M438">
        <v>45338</v>
      </c>
      <c r="N438" t="str">
        <v/>
      </c>
      <c r="O438" t="str">
        <v>Yes</v>
      </c>
      <c r="P438">
        <v>32.3043467</v>
      </c>
      <c r="Q438">
        <v>-64.8160778</v>
      </c>
    </row>
    <row r="439" xml:space="preserve">
      <c r="A439" t="str">
        <v>B0472-23</v>
      </c>
      <c r="B439" t="str" xml:space="preserve">
        <v xml:space="preserve">7 Whitney Avenue West_x000d__x000d_
Pembroke, BM HM13</v>
      </c>
      <c r="C439" t="str">
        <v>Permitted Development</v>
      </c>
      <c r="D439" t="str">
        <v>Complete</v>
      </c>
      <c r="E439">
        <v>45278</v>
      </c>
      <c r="F439" t="str">
        <v>Roof Top Solar, 16 - 395W PV Modules, (6.32 ), Annual Production 9,893 , Total Area 355 Square Feet.</v>
      </c>
      <c r="G439">
        <v>6.32</v>
      </c>
      <c r="H439" t="str">
        <v>Residential</v>
      </c>
      <c r="I439">
        <v>45258</v>
      </c>
      <c r="J439">
        <v>45517</v>
      </c>
      <c r="K439" t="str">
        <v>Pembroke</v>
      </c>
      <c r="L439">
        <v>47105</v>
      </c>
      <c r="M439">
        <v>45492</v>
      </c>
      <c r="N439" t="str">
        <v/>
      </c>
      <c r="O439" t="str">
        <v>Yes</v>
      </c>
      <c r="P439">
        <v>32.304553</v>
      </c>
      <c r="Q439">
        <v>-64.788941</v>
      </c>
    </row>
    <row r="440" xml:space="preserve">
      <c r="A440" t="str">
        <v>B0490-23</v>
      </c>
      <c r="B440" t="str" xml:space="preserve">
        <v xml:space="preserve">19 Beacon Hill Road_x000d__x000d_
Sandys, BM MA02</v>
      </c>
      <c r="C440" t="str">
        <v>Permitted Development</v>
      </c>
      <c r="D440" t="str">
        <v>Complete</v>
      </c>
      <c r="E440">
        <v>45278</v>
      </c>
      <c r="F440" t="str">
        <v>Solar PV System: 22 Panels @ 405 W/Panel; 19.9 sq ft/Panel; Total System Area 437.8 sq ft; Total System Capacity 8.91 ; Total System Output 12,919  | Tesla Powerwall: 1 Tesla Powerwall @ 13.5 /Powerwall; Total System Capacity 13.5 ; 4.46 sq ft/Powerwall; Total sq ft 4.46 *Revision 1: Modify drawings to reflect on proposed final panel locations on site. Solar PV System: 22 Panels @ 405 W/Panel; 19.9 sq ft/Panel; Total System Area 437.8 sq ft; Total System Capacity 8.91 ; Total System Output 12,919  | Tesla Powerwall: 1 Tesla Powerwall @ 13.5 /Powerwall; Total System Capacity 13.5 ; 4.46 sq ft/Powerwall; Total sq ft 4.46</v>
      </c>
      <c r="G440">
        <v>8.91</v>
      </c>
      <c r="H440" t="str">
        <v>Residential</v>
      </c>
      <c r="I440">
        <v>45271</v>
      </c>
      <c r="J440">
        <v>45357</v>
      </c>
      <c r="K440" t="str">
        <v>Sandys</v>
      </c>
      <c r="L440">
        <v>47105</v>
      </c>
      <c r="M440">
        <v>45356</v>
      </c>
      <c r="N440" t="str">
        <v/>
      </c>
      <c r="O440" t="str">
        <v>Yes</v>
      </c>
      <c r="P440">
        <v>32.300753</v>
      </c>
      <c r="Q440">
        <v>-64.867409</v>
      </c>
    </row>
    <row r="441" xml:space="preserve">
      <c r="A441" t="str">
        <v>B0469-23</v>
      </c>
      <c r="B441" t="str" xml:space="preserve">
        <v xml:space="preserve">14 Southlyn Lane_x000d__x000d_
Paget, BM PG03</v>
      </c>
      <c r="C441" t="str">
        <v>Permitted Development</v>
      </c>
      <c r="D441" t="str">
        <v>Complete</v>
      </c>
      <c r="E441">
        <v>45278</v>
      </c>
      <c r="F441" t="str">
        <v>Solar Installation: 19 Panels @405W/Panel; 19.9sq ft/Panel; Total System Area 378.1sq ft; Total System Capacity 7.69; Total System Output 11,158</v>
      </c>
      <c r="G441">
        <v>7.69</v>
      </c>
      <c r="H441" t="str">
        <v>Residential</v>
      </c>
      <c r="I441">
        <v>45258</v>
      </c>
      <c r="J441">
        <v>45303</v>
      </c>
      <c r="K441" t="str">
        <v>Paget</v>
      </c>
      <c r="L441">
        <v>47105</v>
      </c>
      <c r="M441">
        <v>45300</v>
      </c>
      <c r="N441" t="str">
        <v/>
      </c>
      <c r="O441" t="str">
        <v>Yes</v>
      </c>
      <c r="P441">
        <v>32.280503</v>
      </c>
      <c r="Q441">
        <v>-64.778193</v>
      </c>
    </row>
    <row r="442" xml:space="preserve">
      <c r="A442" t="str">
        <v>B0499-23</v>
      </c>
      <c r="B442" t="str" xml:space="preserve">
        <v xml:space="preserve">1 Seabright Lane_x000d__x000d_
Paget, BM DV04</v>
      </c>
      <c r="C442" t="str">
        <v>Permitted Development</v>
      </c>
      <c r="D442" t="str">
        <v>Issued</v>
      </c>
      <c r="E442">
        <v>45278</v>
      </c>
      <c r="F442" t="str">
        <v xml:space="preserve">Roof Mounted Solar PV System - 314 sq ft, 16x370W Modules, System Capacity: 5.92 </v>
      </c>
      <c r="G442">
        <v>5.92</v>
      </c>
      <c r="H442" t="str">
        <v>Residential</v>
      </c>
      <c r="I442">
        <v>45273</v>
      </c>
      <c r="J442">
        <v>45387</v>
      </c>
      <c r="K442" t="str">
        <v>Paget</v>
      </c>
      <c r="L442">
        <v>47105</v>
      </c>
      <c r="M442">
        <v>45379</v>
      </c>
      <c r="N442" t="str">
        <v/>
      </c>
      <c r="O442" t="str">
        <v>Yes</v>
      </c>
      <c r="P442">
        <v>32.288662</v>
      </c>
      <c r="Q442">
        <v>-64.761375</v>
      </c>
    </row>
    <row r="443" xml:space="preserve">
      <c r="A443" t="str">
        <v>B0484-23</v>
      </c>
      <c r="B443" t="str" xml:space="preserve">
        <v xml:space="preserve">21 Rocky Bay Lane_x000d__x000d_
Devonshire, BM DV07</v>
      </c>
      <c r="C443" t="str">
        <v>Permitted Development</v>
      </c>
      <c r="D443" t="str">
        <v>Complete</v>
      </c>
      <c r="E443">
        <v>45280</v>
      </c>
      <c r="F443" t="str">
        <v>Addition of Roof Top PV Solar; 49 Modules, 370w ea. 18,130W Total. 19.65sf ea. 962.85 sq ft Total. Estimated Annual Yield, 24,560. 1 10  Battery *Revision 1: Change southwest array of nine to eight. Change southwest array of tee to two. Add northwest array of two. Total module count remains 49. Attach aluminum trim to lower edge of panel overhanging gutter to divert water back into gutter. Change layout of two southern arrays of 3 in portrait to 3 in landscape stacked.</v>
      </c>
      <c r="G443">
        <v>18.13</v>
      </c>
      <c r="H443" t="str">
        <v>Residential</v>
      </c>
      <c r="I443">
        <v>45266</v>
      </c>
      <c r="J443">
        <v>45673</v>
      </c>
      <c r="K443" t="str">
        <v>Devonshire</v>
      </c>
      <c r="L443">
        <v>47106</v>
      </c>
      <c r="M443">
        <v>45576</v>
      </c>
      <c r="N443" t="str">
        <v/>
      </c>
      <c r="O443" t="str">
        <v>Yes</v>
      </c>
      <c r="P443">
        <v>32.3002368</v>
      </c>
      <c r="Q443">
        <v>-64.74604</v>
      </c>
    </row>
    <row r="444" xml:space="preserve">
      <c r="A444" t="str">
        <v>B0486-23</v>
      </c>
      <c r="B444" t="str" xml:space="preserve">
        <v xml:space="preserve">21 Shore Hills Lane_x000d__x000d_
St. George's, BM GE01</v>
      </c>
      <c r="C444" t="str">
        <v>Permitted Development</v>
      </c>
      <c r="D444" t="str">
        <v>Complete</v>
      </c>
      <c r="E444">
        <v>45281</v>
      </c>
      <c r="F444" t="str">
        <v>Roof Mounted Solar PV System - 314 sq ft, 16x370W Modules, System Capacity: 5.92</v>
      </c>
      <c r="G444">
        <v>5.92</v>
      </c>
      <c r="H444" t="str">
        <v>Residential</v>
      </c>
      <c r="I444">
        <v>45267</v>
      </c>
      <c r="J444">
        <v>45343</v>
      </c>
      <c r="K444" t="str">
        <v>St. George</v>
      </c>
      <c r="L444">
        <v>47107</v>
      </c>
      <c r="M444">
        <v>45341</v>
      </c>
      <c r="N444" t="str">
        <v/>
      </c>
      <c r="O444" t="str">
        <v>Yes</v>
      </c>
      <c r="P444">
        <v>32.371458</v>
      </c>
      <c r="Q444">
        <v>-64.695616</v>
      </c>
    </row>
    <row r="445" xml:space="preserve">
      <c r="A445" t="str">
        <v>B0507-23</v>
      </c>
      <c r="B445" t="str" xml:space="preserve">
        <v xml:space="preserve">3 Scenic Heights Pass_x000d__x000d_
Southampton, BM SN04, Bermuda</v>
      </c>
      <c r="C445" t="str">
        <v>Permitted Development</v>
      </c>
      <c r="D445" t="str">
        <v>Complete</v>
      </c>
      <c r="E445">
        <v>45287</v>
      </c>
      <c r="F445" t="str">
        <v>Roof Mounted Solar PV System - 255 sq ft, 13x370W Modules, System Capacity: 4.81</v>
      </c>
      <c r="G445">
        <v>4.81</v>
      </c>
      <c r="H445" t="str">
        <v>Residential</v>
      </c>
      <c r="I445">
        <v>45280</v>
      </c>
      <c r="J445">
        <v>45387</v>
      </c>
      <c r="K445" t="str">
        <v>Southampton</v>
      </c>
      <c r="L445">
        <v>47113</v>
      </c>
      <c r="M445">
        <v>45364</v>
      </c>
      <c r="N445" t="str">
        <v/>
      </c>
      <c r="O445" t="str">
        <v>Yes</v>
      </c>
      <c r="P445">
        <v>32.258806</v>
      </c>
      <c r="Q445">
        <v>-64.823321</v>
      </c>
    </row>
    <row r="446" xml:space="preserve">
      <c r="A446" t="str">
        <v>BR0215-23</v>
      </c>
      <c r="B446" t="str" xml:space="preserve">
        <v xml:space="preserve">4 Tribe Road No 1_x000d__x000d_
Paget, BM DV04</v>
      </c>
      <c r="C446" t="str">
        <v>Building - Residential</v>
      </c>
      <c r="D446" t="str">
        <v>Complete</v>
      </c>
      <c r="E446">
        <v>45288</v>
      </c>
      <c r="F446" t="str">
        <v xml:space="preserve">Roof Mounted Solar PV System - 177 sq ft, 9x365W Modules, System Capacity: 3.285 </v>
      </c>
      <c r="G446">
        <v>3.285</v>
      </c>
      <c r="H446" t="str">
        <v>Building Residential</v>
      </c>
      <c r="I446">
        <v>45254</v>
      </c>
      <c r="J446">
        <v>45315</v>
      </c>
      <c r="K446" t="str">
        <v>Paget</v>
      </c>
      <c r="L446">
        <v>47114</v>
      </c>
      <c r="M446">
        <v>45313</v>
      </c>
      <c r="N446" t="str">
        <v/>
      </c>
      <c r="O446" t="str">
        <v>Yes</v>
      </c>
      <c r="P446">
        <v>32.289669</v>
      </c>
      <c r="Q446">
        <v>-64.762245</v>
      </c>
    </row>
    <row r="447" xml:space="preserve">
      <c r="A447" t="str">
        <v>B0500-23</v>
      </c>
      <c r="B447" t="str" xml:space="preserve">
        <v xml:space="preserve">33 Melville Road_x000d__x000d_
Devonshire, BM DV07</v>
      </c>
      <c r="C447" t="str">
        <v>Permitted Development</v>
      </c>
      <c r="D447" t="str">
        <v>Complete</v>
      </c>
      <c r="E447">
        <v>45289</v>
      </c>
      <c r="F447" t="str" xml:space="preserve">
        <v xml:space="preserve">x2 Roof Mounted Solar PV Systems - 707 sq ft Total, x1 Battery Storage System - 20 . _x000d__x000d_
Main House System: 20x370W Modules, System Capacity: 7.4, 393 sq ft, Wall Mounted Battery System - 20 ._x000d__x000d_
Apartment System: 16x370W Modules, System Capacity: 5.92, 314sqft</v>
      </c>
      <c r="G447">
        <v>13.32</v>
      </c>
      <c r="H447" t="str">
        <v>Residential</v>
      </c>
      <c r="I447">
        <v>45274</v>
      </c>
      <c r="J447">
        <v>45370</v>
      </c>
      <c r="K447" t="str">
        <v>Devonshire</v>
      </c>
      <c r="L447">
        <v>47115</v>
      </c>
      <c r="M447">
        <v>45357</v>
      </c>
      <c r="N447" t="str">
        <v/>
      </c>
      <c r="O447" t="str">
        <v>Yes</v>
      </c>
      <c r="P447">
        <v>32.3022975</v>
      </c>
      <c r="Q447">
        <v>-64.7524478</v>
      </c>
    </row>
    <row r="448" xml:space="preserve">
      <c r="A448" t="str">
        <v>B0511-23</v>
      </c>
      <c r="B448" t="str" xml:space="preserve">
        <v xml:space="preserve">15 Grasmere Road_x000d__x000d_
Pembroke, BM HM05</v>
      </c>
      <c r="C448" t="str">
        <v>Permitted Development</v>
      </c>
      <c r="D448" t="str">
        <v>Complete</v>
      </c>
      <c r="E448">
        <v>45294</v>
      </c>
      <c r="F448" t="str">
        <v xml:space="preserve">Roof Mounted Solar PV System - 608 sq ft, 31x370W Modules, System Capacity: 11.47 </v>
      </c>
      <c r="G448">
        <v>11.47</v>
      </c>
      <c r="H448" t="str">
        <v>Residential</v>
      </c>
      <c r="I448">
        <v>45282</v>
      </c>
      <c r="J448">
        <v>45407</v>
      </c>
      <c r="K448" t="str">
        <v>Pembroke</v>
      </c>
      <c r="L448">
        <v>47120</v>
      </c>
      <c r="M448">
        <v>45393</v>
      </c>
      <c r="N448" t="str">
        <v/>
      </c>
      <c r="O448" t="str">
        <v>Yes</v>
      </c>
      <c r="P448">
        <v>32.30067</v>
      </c>
      <c r="Q448">
        <v>-64.808714</v>
      </c>
    </row>
    <row r="449" xml:space="preserve">
      <c r="A449" t="str">
        <v>BR0232-23</v>
      </c>
      <c r="B449" t="str" xml:space="preserve">
        <v xml:space="preserve">6 Manderley Mews_x000d__x000d_
Warwick, BM WK04</v>
      </c>
      <c r="C449" t="str">
        <v>Building - Residential</v>
      </c>
      <c r="D449" t="str">
        <v>Complete</v>
      </c>
      <c r="E449">
        <v>45294</v>
      </c>
      <c r="F449" t="str" xml:space="preserve">
        <v xml:space="preserve">Proposed Roof Mounted Solar PV System: 14 Panels @ 405w/Panel, 19.9 sq ft/Panel, Total sq. ft. 278.6, Total System Capacity 5.67 , Total Annual Output 8,222 . _x000d__x000d_
Note: Building only P0327-23 *Revision 1: Move 5 panels to South facing roof.</v>
      </c>
      <c r="G449">
        <v>5.67</v>
      </c>
      <c r="H449" t="str">
        <v>Building Residential</v>
      </c>
      <c r="I449">
        <v>45281</v>
      </c>
      <c r="J449">
        <v>45320</v>
      </c>
      <c r="K449" t="str">
        <v>Warwick</v>
      </c>
      <c r="L449">
        <v>47120</v>
      </c>
      <c r="M449">
        <v>45316</v>
      </c>
      <c r="N449" t="str">
        <v/>
      </c>
      <c r="O449" t="str">
        <v>Yes</v>
      </c>
      <c r="P449">
        <v>32.264353</v>
      </c>
      <c r="Q449">
        <v>-64.819995</v>
      </c>
    </row>
    <row r="450" xml:space="preserve">
      <c r="A450" t="str">
        <v>B0481-23</v>
      </c>
      <c r="B450" t="str" xml:space="preserve">
        <v xml:space="preserve">41 Pitts Bay Road_x000d__x000d_
Pembroke, BM HM06</v>
      </c>
      <c r="C450" t="str">
        <v>Permitted Development</v>
      </c>
      <c r="D450" t="str">
        <v>Complete</v>
      </c>
      <c r="E450">
        <v>45295</v>
      </c>
      <c r="F450" t="str" xml:space="preserve">
        <v xml:space="preserve">Solar PV System: 36 panels @ 405 W/panel; 19.9 sq ft/panel; Total system area 716.4 sq ft; Total system capacity 14.58 ; Total system output 21,141 h_x000d__x000d_
Solar PV System: 36 panels @ 405 W/panel; 19.9 sq ft/panel; Total system area 716.4 sq ft; Total system capacity 14.58 ; Total system output 21,141 h | Tesla Power wall: 1 Tesla Power wall @ 13.5 /Power wall; Total System Capacity 13.5 ; 4.46 sq ft/Power wall; Total sq ft 4.46</v>
      </c>
      <c r="G450">
        <v>14.58</v>
      </c>
      <c r="H450" t="str">
        <v>Residential</v>
      </c>
      <c r="I450">
        <v>45265</v>
      </c>
      <c r="J450">
        <v>45295</v>
      </c>
      <c r="K450" t="str">
        <v>Pembroke</v>
      </c>
      <c r="L450">
        <v>47121</v>
      </c>
      <c r="M450">
        <v>45432</v>
      </c>
      <c r="N450" t="str">
        <v/>
      </c>
      <c r="O450" t="str">
        <v>Yes</v>
      </c>
      <c r="P450">
        <v>32.2918389</v>
      </c>
      <c r="Q450">
        <v>-64.7948361</v>
      </c>
    </row>
    <row r="451" xml:space="preserve">
      <c r="A451" t="str">
        <v>B0509-23</v>
      </c>
      <c r="B451" t="str" xml:space="preserve">
        <v xml:space="preserve">37 South Road_x000d__x000d_
Smiths, BM FL05</v>
      </c>
      <c r="C451" t="str">
        <v>Permitted Development</v>
      </c>
      <c r="D451" t="str">
        <v>Complete</v>
      </c>
      <c r="E451">
        <v>45296</v>
      </c>
      <c r="F451" t="str">
        <v xml:space="preserve">Roof Mounted Solar PV System - 117 sq ft, 5x440W Modules, System Capacity: 2.2 , Wall Mounted Battery System - 10 </v>
      </c>
      <c r="G451">
        <v>2.2</v>
      </c>
      <c r="H451" t="str">
        <v>Residential</v>
      </c>
      <c r="I451">
        <v>45281</v>
      </c>
      <c r="J451">
        <v>45394</v>
      </c>
      <c r="K451" t="str">
        <v>Smiths</v>
      </c>
      <c r="L451">
        <v>47122</v>
      </c>
      <c r="M451">
        <v>45384</v>
      </c>
      <c r="N451" t="str">
        <v/>
      </c>
      <c r="O451" t="str">
        <v>Yes</v>
      </c>
      <c r="P451">
        <v>32.3131214</v>
      </c>
      <c r="Q451">
        <v>-64.72813665</v>
      </c>
    </row>
    <row r="452" xml:space="preserve">
      <c r="A452" t="str">
        <v>B0495-23</v>
      </c>
      <c r="B452" t="str" xml:space="preserve">
        <v xml:space="preserve">17 Rocky Ridge Road_x000d__x000d_
Smiths, BM HS02</v>
      </c>
      <c r="C452" t="str">
        <v>Permitted Development</v>
      </c>
      <c r="D452" t="str">
        <v>Complete</v>
      </c>
      <c r="E452">
        <v>45296</v>
      </c>
      <c r="F452" t="str">
        <v>Solar PV System: 38 Panels @ 405w/Panel, 19.9 sq.ft./Panel, Total sq. ft. 756.2, Total System Capacity 15.39, Total Annual Output 22,316 .</v>
      </c>
      <c r="G452">
        <v>15.39</v>
      </c>
      <c r="H452" t="str">
        <v>Residential</v>
      </c>
      <c r="I452">
        <v>45273</v>
      </c>
      <c r="J452">
        <v>45377</v>
      </c>
      <c r="K452" t="str">
        <v>Smiths</v>
      </c>
      <c r="L452">
        <v>47122</v>
      </c>
      <c r="M452">
        <v>45366</v>
      </c>
      <c r="N452" t="str">
        <v/>
      </c>
      <c r="O452" t="str">
        <v>Yes</v>
      </c>
      <c r="P452">
        <v>32.325474</v>
      </c>
      <c r="Q452">
        <v>-64.715429</v>
      </c>
    </row>
    <row r="453" xml:space="preserve">
      <c r="A453" t="str">
        <v>B0506-23</v>
      </c>
      <c r="B453" t="str" xml:space="preserve">
        <v xml:space="preserve">27 Harvest Lane Unit: A_x000d__x000d_
Hamilton, BM CR01, Bermuda</v>
      </c>
      <c r="C453" t="str">
        <v>Permitted Development</v>
      </c>
      <c r="D453" t="str">
        <v>Complete</v>
      </c>
      <c r="E453">
        <v>45303</v>
      </c>
      <c r="F453" t="str">
        <v>Roof Mounted Solar PV System - 314 sq ft, 16x370W Modules, System Capacity: 5.92</v>
      </c>
      <c r="G453">
        <v>5.92</v>
      </c>
      <c r="H453" t="str">
        <v>Residential</v>
      </c>
      <c r="I453">
        <v>45280</v>
      </c>
      <c r="J453">
        <v>45540</v>
      </c>
      <c r="K453" t="str">
        <v>Hamilton</v>
      </c>
      <c r="L453">
        <v>47129</v>
      </c>
      <c r="M453">
        <v>45519</v>
      </c>
      <c r="N453" t="str">
        <v/>
      </c>
      <c r="O453" t="str">
        <v>Yes</v>
      </c>
      <c r="P453">
        <v>32.3354143</v>
      </c>
      <c r="Q453">
        <v>-64.7322707</v>
      </c>
    </row>
    <row r="454" xml:space="preserve">
      <c r="A454" t="str">
        <v>B0002-24</v>
      </c>
      <c r="B454" t="str" xml:space="preserve">
        <v xml:space="preserve">13 Foothills Road_x000d__x000d_
Devonshire, BM DV05, Bermuda</v>
      </c>
      <c r="C454" t="str">
        <v>Permitted Development</v>
      </c>
      <c r="D454" t="str">
        <v>Complete</v>
      </c>
      <c r="E454">
        <v>45306</v>
      </c>
      <c r="F454" t="str">
        <v xml:space="preserve">Roof Mounted Solar PV System - 79 sq ft., 4 x 370W Modules, System Capacity: 1.48 </v>
      </c>
      <c r="G454">
        <v>1.48</v>
      </c>
      <c r="H454" t="str">
        <v>Residential</v>
      </c>
      <c r="I454">
        <v>45293</v>
      </c>
      <c r="J454">
        <v>45720</v>
      </c>
      <c r="K454" t="str">
        <v>Devonshire</v>
      </c>
      <c r="L454">
        <v>47133</v>
      </c>
      <c r="M454">
        <v>45716</v>
      </c>
      <c r="N454" t="str">
        <v/>
      </c>
      <c r="O454" t="str">
        <v>Yes</v>
      </c>
      <c r="P454">
        <v>32.312807</v>
      </c>
      <c r="Q454">
        <v>-64.752368</v>
      </c>
    </row>
    <row r="455" xml:space="preserve">
      <c r="A455" t="str">
        <v>B0503-23</v>
      </c>
      <c r="B455" t="str" xml:space="preserve">
        <v xml:space="preserve">10 Westwood Lane_x000d__x000d_
Paget, BM PG05</v>
      </c>
      <c r="C455" t="str">
        <v>Permitted Development</v>
      </c>
      <c r="D455" t="str">
        <v>Complete</v>
      </c>
      <c r="E455">
        <v>45306</v>
      </c>
      <c r="F455" t="str">
        <v>Solar PV System: 24 Panels @ 405w/panel, 19.9 sq.ft./panel, Total sq. ft. 477.6, Total System Capacity 9.72, Total Annual Output 14,094 h</v>
      </c>
      <c r="G455">
        <v>9.72</v>
      </c>
      <c r="H455" t="str">
        <v>Residential</v>
      </c>
      <c r="I455">
        <v>45278</v>
      </c>
      <c r="J455">
        <v>45370</v>
      </c>
      <c r="K455" t="str">
        <v>Paget</v>
      </c>
      <c r="L455">
        <v>47133</v>
      </c>
      <c r="M455">
        <v>45358</v>
      </c>
      <c r="N455" t="str">
        <v/>
      </c>
      <c r="O455" t="str">
        <v>Yes</v>
      </c>
      <c r="P455">
        <v>32.286988</v>
      </c>
      <c r="Q455">
        <v>-64.780185</v>
      </c>
    </row>
    <row r="456" xml:space="preserve">
      <c r="A456" t="str">
        <v>B0505-23</v>
      </c>
      <c r="B456" t="str" xml:space="preserve">
        <v xml:space="preserve">127 Middle Road_x000d__x000d_
Southampton, BM SN01</v>
      </c>
      <c r="C456" t="str">
        <v>Permitted Development</v>
      </c>
      <c r="D456" t="str">
        <v>Complete</v>
      </c>
      <c r="E456">
        <v>45314</v>
      </c>
      <c r="F456" t="str">
        <v>Addition of Roof Top PV Solar, 8 Modules, 340w ea. 2,720w total. 18.04sf ea. 144.32 sq ft Total, Estimated Annual Yield, 4,420 . 1 10  Battery</v>
      </c>
      <c r="G456">
        <v>2.72</v>
      </c>
      <c r="H456" t="str">
        <v>Residential</v>
      </c>
      <c r="I456">
        <v>45279</v>
      </c>
      <c r="J456">
        <v>45552</v>
      </c>
      <c r="K456" t="str">
        <v>Southampton</v>
      </c>
      <c r="L456">
        <v>47140</v>
      </c>
      <c r="M456">
        <v>45524</v>
      </c>
      <c r="N456" t="str">
        <v/>
      </c>
      <c r="O456" t="str">
        <v>Yes</v>
      </c>
      <c r="P456">
        <v>32.254039</v>
      </c>
      <c r="Q456">
        <v>-64.84694</v>
      </c>
    </row>
    <row r="457" xml:space="preserve">
      <c r="A457" t="str">
        <v>B0018-24</v>
      </c>
      <c r="B457" t="str" xml:space="preserve">
        <v xml:space="preserve">12 Paget Close_x000d__x000d_
Paget, BM PG05</v>
      </c>
      <c r="C457" t="str">
        <v>Permitted Development</v>
      </c>
      <c r="D457" t="str">
        <v>Complete</v>
      </c>
      <c r="E457">
        <v>45314</v>
      </c>
      <c r="F457" t="str">
        <v xml:space="preserve">Roof Mounted Solar PV System - 216 sq ft, 11x370W Modules, System Capacity: 4.07 </v>
      </c>
      <c r="G457">
        <v>4.07</v>
      </c>
      <c r="H457" t="str">
        <v>Residential</v>
      </c>
      <c r="I457">
        <v>45308</v>
      </c>
      <c r="J457">
        <v>45387</v>
      </c>
      <c r="K457" t="str">
        <v>Paget</v>
      </c>
      <c r="L457">
        <v>47140</v>
      </c>
      <c r="M457">
        <v>45364</v>
      </c>
      <c r="N457" t="str">
        <v/>
      </c>
      <c r="O457" t="str">
        <v>Yes</v>
      </c>
      <c r="P457">
        <v>32.290606</v>
      </c>
      <c r="Q457">
        <v>-64.773248</v>
      </c>
    </row>
    <row r="458" xml:space="preserve">
      <c r="A458" t="str">
        <v>B0003-24</v>
      </c>
      <c r="B458" t="str" xml:space="preserve">
        <v xml:space="preserve">2 Tamarisk Hill_x000d__x000d_
Smiths, BM FL03</v>
      </c>
      <c r="C458" t="str">
        <v>Permitted Development</v>
      </c>
      <c r="D458" t="str">
        <v>Complete</v>
      </c>
      <c r="E458">
        <v>45314</v>
      </c>
      <c r="F458" t="str">
        <v xml:space="preserve">Roof Mounted Solar PV System - 137 sq ft,  7 x 370W Modules, System Capacity: 2.59 </v>
      </c>
      <c r="G458">
        <v>2.59</v>
      </c>
      <c r="H458" t="str">
        <v>Residential</v>
      </c>
      <c r="I458">
        <v>45293</v>
      </c>
      <c r="J458">
        <v>45334</v>
      </c>
      <c r="K458" t="str">
        <v>Smiths</v>
      </c>
      <c r="L458">
        <v>47140</v>
      </c>
      <c r="M458">
        <v>45334</v>
      </c>
      <c r="N458" t="str">
        <v/>
      </c>
      <c r="O458" t="str">
        <v>Yes</v>
      </c>
      <c r="P458">
        <v>32.317988</v>
      </c>
      <c r="Q458">
        <v>-64.745986</v>
      </c>
    </row>
    <row r="459" xml:space="preserve">
      <c r="A459" t="str">
        <v>B0009-24</v>
      </c>
      <c r="B459" t="str" xml:space="preserve">
        <v xml:space="preserve">17 Mcgall's Bay Road_x000d__x000d_
Smiths, BM FL05</v>
      </c>
      <c r="C459" t="str">
        <v>Permitted Development</v>
      </c>
      <c r="D459" t="str">
        <v>Complete</v>
      </c>
      <c r="E459">
        <v>45314</v>
      </c>
      <c r="F459" t="str">
        <v xml:space="preserve">Roof Mounted Solar PV System - 530 sq ft, 27x370W Module, System Capacity: 9.99 </v>
      </c>
      <c r="G459">
        <v>9.99</v>
      </c>
      <c r="H459" t="str">
        <v>Residential</v>
      </c>
      <c r="I459">
        <v>45300</v>
      </c>
      <c r="J459">
        <v>45343</v>
      </c>
      <c r="K459" t="str">
        <v>Smiths</v>
      </c>
      <c r="L459">
        <v>47140</v>
      </c>
      <c r="M459">
        <v>45338</v>
      </c>
      <c r="N459" t="str">
        <v/>
      </c>
      <c r="O459" t="str">
        <v>Yes</v>
      </c>
      <c r="P459">
        <v>32.3108347</v>
      </c>
      <c r="Q459">
        <v>-64.7305954</v>
      </c>
    </row>
    <row r="460" xml:space="preserve">
      <c r="A460" t="str">
        <v>BR0001-24</v>
      </c>
      <c r="B460" t="str" xml:space="preserve">
        <v xml:space="preserve">5 Edgehill Drive_x000d__x000d_
Paget, BM PG03</v>
      </c>
      <c r="C460" t="str">
        <v>Building - Residential</v>
      </c>
      <c r="D460" t="str">
        <v>Complete</v>
      </c>
      <c r="E460">
        <v>45315</v>
      </c>
      <c r="F460" t="str">
        <v xml:space="preserve">Roof Mounted Solar PV System - 471 sq ft, 24x370W Modules, System Capacity: 8.88 </v>
      </c>
      <c r="G460">
        <v>8.88</v>
      </c>
      <c r="H460" t="str">
        <v>Building Residential</v>
      </c>
      <c r="I460">
        <v>45293</v>
      </c>
      <c r="J460">
        <v>45370</v>
      </c>
      <c r="K460" t="str">
        <v>Paget</v>
      </c>
      <c r="L460">
        <v>47141</v>
      </c>
      <c r="M460">
        <v>45351</v>
      </c>
      <c r="N460" t="str">
        <v/>
      </c>
      <c r="O460" t="str">
        <v>Yes</v>
      </c>
      <c r="P460">
        <v>32.279516</v>
      </c>
      <c r="Q460">
        <v>-64.788076</v>
      </c>
    </row>
    <row r="461" xml:space="preserve">
      <c r="A461" t="str">
        <v>BR0005-24</v>
      </c>
      <c r="B461" t="str" xml:space="preserve">
        <v xml:space="preserve">38 Middle Road_x000d__x000d_
Devonshire, DV03, Bermuda</v>
      </c>
      <c r="C461" t="str">
        <v>Building - Residential</v>
      </c>
      <c r="D461" t="str">
        <v>Complete</v>
      </c>
      <c r="E461">
        <v>45323</v>
      </c>
      <c r="F461" t="str">
        <v>Ground Mounted Solar PV System - 817 sq ft, 30x440W Modules, System Capacity: 13.05  to supply power to main house at 38 Middle Road, Devonshire *Revision 1: concrete block supporting walls instead of concrete pad and walls *Revision 2: change PV module model, add 5 PV modules, Total # modules: 35 @ 440W/ module @ 23.3sqft each, System Capacity: 15.4-DC, 12.215-AC, Total area: 815sqft</v>
      </c>
      <c r="G461">
        <v>12.215</v>
      </c>
      <c r="H461" t="str">
        <v>Building Residential</v>
      </c>
      <c r="I461">
        <v>45300</v>
      </c>
      <c r="J461">
        <v>45323</v>
      </c>
      <c r="K461" t="str">
        <v>Devonshire</v>
      </c>
      <c r="L461">
        <v>47149</v>
      </c>
      <c r="M461">
        <v>45637</v>
      </c>
      <c r="N461" t="str">
        <v/>
      </c>
      <c r="O461" t="str">
        <v>Yes</v>
      </c>
      <c r="P461">
        <v>32.295416</v>
      </c>
      <c r="Q461">
        <v>-64.76825</v>
      </c>
    </row>
    <row r="462" xml:space="preserve">
      <c r="A462" t="str">
        <v>B0022-24</v>
      </c>
      <c r="B462" t="str" xml:space="preserve">
        <v xml:space="preserve">8 Jackson Drive_x000d__x000d_
Devonshire, BM DV06</v>
      </c>
      <c r="C462" t="str">
        <v>Permitted Development</v>
      </c>
      <c r="D462" t="str">
        <v>Complete</v>
      </c>
      <c r="E462">
        <v>45324</v>
      </c>
      <c r="F462" t="str">
        <v xml:space="preserve">Roof Mounted Solar PV System - 215 sq ft, 11x370W Modules, System Capacity: 3.19 </v>
      </c>
      <c r="G462">
        <v>3.19</v>
      </c>
      <c r="H462" t="str">
        <v>Residential</v>
      </c>
      <c r="I462">
        <v>45314</v>
      </c>
      <c r="J462">
        <v>45517</v>
      </c>
      <c r="K462" t="str">
        <v>Devonshire</v>
      </c>
      <c r="L462">
        <v>47150</v>
      </c>
      <c r="M462">
        <v>45489</v>
      </c>
      <c r="N462" t="str">
        <v/>
      </c>
      <c r="O462" t="str">
        <v>Yes</v>
      </c>
      <c r="P462">
        <v>32.306043</v>
      </c>
      <c r="Q462">
        <v>-64.752237</v>
      </c>
    </row>
    <row r="463" xml:space="preserve">
      <c r="A463" t="str">
        <v>B0014-24</v>
      </c>
      <c r="B463" t="str" xml:space="preserve">
        <v xml:space="preserve">7 Knapton Crescent_x000d__x000d_
Smiths, BM FL08</v>
      </c>
      <c r="C463" t="str">
        <v>Permitted Development</v>
      </c>
      <c r="D463" t="str">
        <v>Complete</v>
      </c>
      <c r="E463">
        <v>45324</v>
      </c>
      <c r="F463" t="str">
        <v xml:space="preserve">Roof Mounted Solar PV System - 727 sq ft, 37x370W Modules, System Capacity: 13.69 </v>
      </c>
      <c r="G463">
        <v>13.69</v>
      </c>
      <c r="H463" t="str">
        <v>Residential</v>
      </c>
      <c r="I463">
        <v>45307</v>
      </c>
      <c r="J463">
        <v>45387</v>
      </c>
      <c r="K463" t="str">
        <v>Smiths</v>
      </c>
      <c r="L463">
        <v>47150</v>
      </c>
      <c r="M463">
        <v>45384</v>
      </c>
      <c r="N463" t="str">
        <v/>
      </c>
      <c r="O463" t="str">
        <v>Yes</v>
      </c>
      <c r="P463">
        <v>32.316798</v>
      </c>
      <c r="Q463">
        <v>-64.719565</v>
      </c>
    </row>
    <row r="464" xml:space="preserve">
      <c r="A464" t="str">
        <v>B0025-24</v>
      </c>
      <c r="B464" t="str" xml:space="preserve">
        <v xml:space="preserve">95 South Road_x000d__x000d_
Paget, BM PG03</v>
      </c>
      <c r="C464" t="str">
        <v>Permitted Development</v>
      </c>
      <c r="D464" t="str">
        <v>Complete</v>
      </c>
      <c r="E464">
        <v>45324</v>
      </c>
      <c r="F464" t="str">
        <v>Roof Top Solar, 17 - 345W PV Modules, (5.87), Annual Production 8,276h, Total Area 342 Square Feet. *Revision 1: Roof Top Solar, 21 - 345W PV Modules, (7.25), Annual Production 9,791h, Total Area 423 Square Feet, with 24h, DC Coupled Battery Storage System.</v>
      </c>
      <c r="G464">
        <v>7.25</v>
      </c>
      <c r="H464" t="str">
        <v>Residential</v>
      </c>
      <c r="I464">
        <v>45315</v>
      </c>
      <c r="J464">
        <v>45783</v>
      </c>
      <c r="K464" t="str">
        <v>Paget</v>
      </c>
      <c r="L464">
        <v>47150</v>
      </c>
      <c r="M464">
        <v>45779</v>
      </c>
      <c r="N464" t="str">
        <v/>
      </c>
      <c r="O464" t="str">
        <v>Yes</v>
      </c>
      <c r="P464">
        <v>32.2699725</v>
      </c>
      <c r="Q464">
        <v>-64.7868268</v>
      </c>
    </row>
    <row r="465" xml:space="preserve">
      <c r="A465" t="str">
        <v>B0023-24</v>
      </c>
      <c r="B465" t="str" xml:space="preserve">
        <v xml:space="preserve">24 Skyline Road_x000d__x000d_
Smiths, BM FL08</v>
      </c>
      <c r="C465" t="str">
        <v>Permitted Development</v>
      </c>
      <c r="D465" t="str">
        <v>Complete</v>
      </c>
      <c r="E465">
        <v>45324</v>
      </c>
      <c r="F465" t="str">
        <v>Roof Mounted Solar PV System - 293 sq ft, 15x370W Modules, System Capacity: 5.55  *REVISION 1 addition of 16h wall mounted batteries. 6.4, 16h</v>
      </c>
      <c r="G465">
        <v>5.55</v>
      </c>
      <c r="H465" t="str">
        <v>Residential</v>
      </c>
      <c r="I465">
        <v>45315</v>
      </c>
      <c r="J465">
        <v>46010</v>
      </c>
      <c r="K465" t="str">
        <v>Smiths</v>
      </c>
      <c r="L465">
        <v>47150</v>
      </c>
      <c r="M465">
        <v>45999</v>
      </c>
      <c r="N465" t="str">
        <v/>
      </c>
      <c r="O465" t="str">
        <v>Yes</v>
      </c>
      <c r="P465">
        <v>32.319556</v>
      </c>
      <c r="Q465">
        <v>-64.720549</v>
      </c>
    </row>
    <row r="466" xml:space="preserve">
      <c r="A466" t="str">
        <v>B0026-24</v>
      </c>
      <c r="B466" t="str" xml:space="preserve">
        <v xml:space="preserve">21 South Road_x000d__x000d_
Smiths, BM FL05</v>
      </c>
      <c r="C466" t="str">
        <v>Permitted Development</v>
      </c>
      <c r="D466" t="str">
        <v>Complete</v>
      </c>
      <c r="E466">
        <v>45324</v>
      </c>
      <c r="F466" t="str">
        <v xml:space="preserve">Roof Mounted Solar PV System - 332 sq ft, 17x370W Modules, System Capacity: 6.29 </v>
      </c>
      <c r="G466">
        <v>6.29</v>
      </c>
      <c r="H466" t="str">
        <v>Residential</v>
      </c>
      <c r="I466">
        <v>45315</v>
      </c>
      <c r="J466">
        <v>45415</v>
      </c>
      <c r="K466" t="str">
        <v>Smiths</v>
      </c>
      <c r="L466">
        <v>47150</v>
      </c>
      <c r="M466">
        <v>45400</v>
      </c>
      <c r="N466" t="str">
        <v/>
      </c>
      <c r="O466" t="str">
        <v>Yes</v>
      </c>
      <c r="P466">
        <v>32.3131214</v>
      </c>
      <c r="Q466">
        <v>-64.72813665</v>
      </c>
    </row>
    <row r="467" xml:space="preserve">
      <c r="A467" t="str">
        <v>B0035-24</v>
      </c>
      <c r="B467" t="str" xml:space="preserve">
        <v xml:space="preserve">22 Narrows Lane_x000d__x000d_
St. George's, BM DD01</v>
      </c>
      <c r="C467" t="str">
        <v>Permitted Development</v>
      </c>
      <c r="D467" t="str">
        <v>Complete</v>
      </c>
      <c r="E467">
        <v>45327</v>
      </c>
      <c r="F467" t="str">
        <v xml:space="preserve">Addition to existing Roof Mounted Solar PV System - 196 sq ft, 10x370W Modules, System Capacity: 3.7 </v>
      </c>
      <c r="G467">
        <v>3.7</v>
      </c>
      <c r="H467" t="str">
        <v>Residential</v>
      </c>
      <c r="I467">
        <v>45323</v>
      </c>
      <c r="J467">
        <v>45370</v>
      </c>
      <c r="K467" t="str">
        <v>St. George</v>
      </c>
      <c r="L467">
        <v>47154</v>
      </c>
      <c r="M467">
        <v>45358</v>
      </c>
      <c r="N467" t="str">
        <v/>
      </c>
      <c r="O467" t="str">
        <v>Yes</v>
      </c>
      <c r="P467">
        <v>32.369247</v>
      </c>
      <c r="Q467">
        <v>-64.66457</v>
      </c>
    </row>
    <row r="468" xml:space="preserve">
      <c r="A468" t="str">
        <v>B0037-24</v>
      </c>
      <c r="B468" t="str" xml:space="preserve">
        <v xml:space="preserve">19 South Road_x000d__x000d_
Southampton, BM SN01</v>
      </c>
      <c r="C468" t="str">
        <v>Permitted Development</v>
      </c>
      <c r="D468" t="str">
        <v>Complete</v>
      </c>
      <c r="E468">
        <v>45334</v>
      </c>
      <c r="F468" t="str">
        <v>Roof Mounted Solar PV System - 274 sq ft, 14x370W Modules, System Capacity: 5.18 h</v>
      </c>
      <c r="G468">
        <v>5.18</v>
      </c>
      <c r="H468" t="str">
        <v>Residential</v>
      </c>
      <c r="I468">
        <v>45324</v>
      </c>
      <c r="J468">
        <v>45540</v>
      </c>
      <c r="K468" t="str">
        <v>Southampton</v>
      </c>
      <c r="L468">
        <v>47161</v>
      </c>
      <c r="M468">
        <v>45477</v>
      </c>
      <c r="N468" t="str">
        <v/>
      </c>
      <c r="O468" t="str">
        <v>Yes</v>
      </c>
      <c r="P468">
        <v>32.248954</v>
      </c>
      <c r="Q468">
        <v>-64.844145</v>
      </c>
    </row>
    <row r="469" xml:space="preserve">
      <c r="A469" t="str">
        <v>B0038-24</v>
      </c>
      <c r="B469" t="str" xml:space="preserve">
        <v xml:space="preserve">53 St. Anne's Road_x000d__x000d_
Southampton, BM SN02</v>
      </c>
      <c r="C469" t="str">
        <v>Permitted Development</v>
      </c>
      <c r="D469" t="str">
        <v>Complete</v>
      </c>
      <c r="E469">
        <v>45334</v>
      </c>
      <c r="F469" t="str">
        <v>Roof Mounted Solar PV System - 410 sq ft, 21x370W Modules, System Capacity: 7.77 h *Revision 1: add 1 module and relocate 1 module; new system details: 432 sq ft, 22x370W Modules, System Capacity: 8.14</v>
      </c>
      <c r="G469">
        <v>8.14</v>
      </c>
      <c r="H469" t="str">
        <v>Residential</v>
      </c>
      <c r="I469">
        <v>45324</v>
      </c>
      <c r="J469">
        <v>45492</v>
      </c>
      <c r="K469" t="str">
        <v>Southampton</v>
      </c>
      <c r="L469">
        <v>47161</v>
      </c>
      <c r="M469">
        <v>45457</v>
      </c>
      <c r="N469" t="str">
        <v/>
      </c>
      <c r="O469" t="str">
        <v>Yes</v>
      </c>
      <c r="P469">
        <v>32.252656</v>
      </c>
      <c r="Q469">
        <v>-64.836254</v>
      </c>
    </row>
    <row r="470" xml:space="preserve">
      <c r="A470" t="str">
        <v>B0042-24</v>
      </c>
      <c r="B470" t="str" xml:space="preserve">
        <v xml:space="preserve">12 Harrington Hundreds Road Unit: A_x000d__x000d_
Smiths, BM FL07</v>
      </c>
      <c r="C470" t="str">
        <v>Permitted Development</v>
      </c>
      <c r="D470" t="str">
        <v>Complete</v>
      </c>
      <c r="E470">
        <v>45342</v>
      </c>
      <c r="F470" t="str">
        <v>Roof Mounted Solar PV System -  274 sq ft, 14x370W Modules, System Capacity: 5.18 h</v>
      </c>
      <c r="G470">
        <v>5.18</v>
      </c>
      <c r="H470" t="str">
        <v>Residential</v>
      </c>
      <c r="I470">
        <v>45329</v>
      </c>
      <c r="J470">
        <v>45394</v>
      </c>
      <c r="K470" t="str">
        <v>Smiths</v>
      </c>
      <c r="L470">
        <v>47168</v>
      </c>
      <c r="M470">
        <v>45384</v>
      </c>
      <c r="N470" t="str">
        <v/>
      </c>
      <c r="O470" t="str">
        <v>Yes</v>
      </c>
      <c r="P470">
        <v>32.3193995</v>
      </c>
      <c r="Q470">
        <v>-64.7255581</v>
      </c>
    </row>
    <row r="471" xml:space="preserve">
      <c r="A471" t="str">
        <v>B0048-24</v>
      </c>
      <c r="B471" t="str" xml:space="preserve">
        <v xml:space="preserve">4 Knapton Crescent_x000d__x000d_
Smiths, BM FL08</v>
      </c>
      <c r="C471" t="str">
        <v>Permitted Development</v>
      </c>
      <c r="D471" t="str">
        <v>Complete</v>
      </c>
      <c r="E471">
        <v>45342</v>
      </c>
      <c r="F471" t="str">
        <v>Solar PV System: 16 Panels @ 405 W/Panel; 19.9 sq ft/Panel; Total sq ft 318.4; Total System Capacity 6.48 ; Total Annual Output 9,396 h</v>
      </c>
      <c r="G471">
        <v>6.48</v>
      </c>
      <c r="H471" t="str">
        <v>Residential</v>
      </c>
      <c r="I471">
        <v>45331</v>
      </c>
      <c r="J471">
        <v>45434</v>
      </c>
      <c r="K471" t="str">
        <v>Smiths</v>
      </c>
      <c r="L471">
        <v>47168</v>
      </c>
      <c r="M471">
        <v>45434</v>
      </c>
      <c r="N471" t="str">
        <v/>
      </c>
      <c r="O471" t="str">
        <v>Yes</v>
      </c>
      <c r="P471">
        <v>32.31643</v>
      </c>
      <c r="Q471">
        <v>-64.720511</v>
      </c>
    </row>
    <row r="472" xml:space="preserve">
      <c r="A472" t="str">
        <v>BR0206-23</v>
      </c>
      <c r="B472" t="str" xml:space="preserve">
        <v xml:space="preserve">15 Harbour Road_x000d__x000d_
Paget, BM PG02</v>
      </c>
      <c r="C472" t="str">
        <v>Building - Residential</v>
      </c>
      <c r="D472" t="str">
        <v>Issued</v>
      </c>
      <c r="E472">
        <v>45348</v>
      </c>
      <c r="F472" t="str">
        <v>Proposed Alterations and Additions to Existing Main House, Carriage House, Orchard and Landscaping, Including 4 ft. Geoweb Retaining Walls; Solar PV 31 panels @ 370W/panel; Total Area 817 sq ft; Total Output 11.47 (Listed Building). *Revision 1: Proposed revisions to existing permit to include new hot tub, renovations to existing pool, renovations to existing pump room, renovations to existing boat house and renovations to existing pavilion (Building Only - P0236-23)</v>
      </c>
      <c r="G472">
        <v>11.47</v>
      </c>
      <c r="H472" t="str">
        <v>Building Residential</v>
      </c>
      <c r="I472">
        <v>45236</v>
      </c>
      <c r="J472" t="str">
        <v/>
      </c>
      <c r="K472" t="str">
        <v>Paget</v>
      </c>
      <c r="L472">
        <v>47175</v>
      </c>
      <c r="M472" t="str">
        <v/>
      </c>
      <c r="N472" t="str">
        <v/>
      </c>
      <c r="O472" t="str">
        <v>Yes</v>
      </c>
      <c r="P472">
        <v>32.284045</v>
      </c>
      <c r="Q472">
        <v>-64.783545</v>
      </c>
    </row>
    <row r="473" xml:space="preserve">
      <c r="A473" t="str">
        <v>B0068-24</v>
      </c>
      <c r="B473" t="str" xml:space="preserve">
        <v xml:space="preserve">13 Hillview Road_x000d__x000d_
Warwick, BM WK05</v>
      </c>
      <c r="C473" t="str">
        <v>Permitted Development</v>
      </c>
      <c r="D473" t="str">
        <v>Issued</v>
      </c>
      <c r="E473">
        <v>45351</v>
      </c>
      <c r="F473" t="str">
        <v>Solar PV System: 12 panels @ 405 W/panel; 19.9 sq ft/panel; Total system area 238.8 sq ft; Total system capacity 4.86 ; Total system output 7,047 h | Tesla Power wall: 1 Tesla Power wall @ 13.5 /Power wall; Total System Capacity 13.5 ; 4.46 sq ft/Power wall; Total sq ft 4.46</v>
      </c>
      <c r="G473">
        <v>4.86</v>
      </c>
      <c r="H473" t="str">
        <v>Residential</v>
      </c>
      <c r="I473">
        <v>45344</v>
      </c>
      <c r="J473">
        <v>45478</v>
      </c>
      <c r="K473" t="str">
        <v>Warwick</v>
      </c>
      <c r="L473">
        <v>47177</v>
      </c>
      <c r="M473">
        <v>45469</v>
      </c>
      <c r="N473" t="str">
        <v/>
      </c>
      <c r="O473" t="str">
        <v>Yes</v>
      </c>
      <c r="P473">
        <v>32.269209</v>
      </c>
      <c r="Q473">
        <v>-64.810727</v>
      </c>
    </row>
    <row r="474" xml:space="preserve">
      <c r="A474" t="str">
        <v>B0039-24</v>
      </c>
      <c r="B474" t="str" xml:space="preserve">
        <v xml:space="preserve">12 Lighthouse Hill_x000d__x000d_
St. George's, BM DD01</v>
      </c>
      <c r="C474" t="str">
        <v>Permitted Development</v>
      </c>
      <c r="D474" t="str">
        <v>Issued</v>
      </c>
      <c r="E474">
        <v>45352</v>
      </c>
      <c r="F474" t="str">
        <v>Roof Mounted Solar PV System - 254 sq ft, 13x370W Modules, System Capacity: 4.81</v>
      </c>
      <c r="G474">
        <v>4.81</v>
      </c>
      <c r="H474" t="str">
        <v>Residential</v>
      </c>
      <c r="I474">
        <v>45327</v>
      </c>
      <c r="J474" t="str">
        <v/>
      </c>
      <c r="K474" t="str">
        <v>St. George</v>
      </c>
      <c r="L474">
        <v>47178</v>
      </c>
      <c r="M474">
        <v>45356</v>
      </c>
      <c r="N474" t="str">
        <v/>
      </c>
      <c r="O474" t="str">
        <v>Yes</v>
      </c>
      <c r="P474">
        <v>32.3661611</v>
      </c>
      <c r="Q474">
        <v>-64.653535</v>
      </c>
    </row>
    <row r="475" xml:space="preserve">
      <c r="A475" t="str">
        <v>B0062-24</v>
      </c>
      <c r="B475" t="str" xml:space="preserve">
        <v xml:space="preserve">3 Kilderry Close_x000d__x000d_
Smiths, BM FL02</v>
      </c>
      <c r="C475" t="str">
        <v>Permitted Development</v>
      </c>
      <c r="D475" t="str">
        <v>Issued</v>
      </c>
      <c r="E475">
        <v>45352</v>
      </c>
      <c r="F475" t="str" xml:space="preserve">
        <v xml:space="preserve">Solar PV System: Additional 12 panels added to existing PV System @ 405 W/panel; 19.9 sq ft/panel; Total (added) sq ft 238.8; Total (added) system capacity 4.86 ; Total (added) annual output 7,047 h | 1 Tesla Powerwall @ 13.5 / Powerwall; Total System Capacity 13.5 ; 4.48 sq ft/ Powerwall; Total sq ft 4.48_x000d__x000d_
 Total system: 477.6 sq ft; Total system capacity 9.72; Total annual output 14,094 h | 2 Tesla Powerwall @ 13.5 / Powerwall; Total System Capacity 27 ; 4.48 sq ft/ Powerwall; Total sq ft 8.96_x000d__x000d_
Revision 1: 4 panels moved from east array to centre array facing south.</v>
      </c>
      <c r="G475">
        <v>9.72</v>
      </c>
      <c r="H475" t="str">
        <v>Residential</v>
      </c>
      <c r="I475">
        <v>45338</v>
      </c>
      <c r="J475" t="str">
        <v/>
      </c>
      <c r="K475" t="str">
        <v>Smiths</v>
      </c>
      <c r="L475">
        <v>47178</v>
      </c>
      <c r="M475">
        <v>45435</v>
      </c>
      <c r="N475" t="str">
        <v/>
      </c>
      <c r="O475" t="str">
        <v>Yes</v>
      </c>
      <c r="P475">
        <v>32.311464</v>
      </c>
      <c r="Q475">
        <v>-64.745214</v>
      </c>
    </row>
    <row r="476" xml:space="preserve">
      <c r="A476" t="str">
        <v>BR0037-24</v>
      </c>
      <c r="B476" t="str" xml:space="preserve">
        <v xml:space="preserve">34 Keith Hall Road_x000d__x000d_
Warwick, BM WK06</v>
      </c>
      <c r="C476" t="str">
        <v>Building - Residential</v>
      </c>
      <c r="D476" t="str">
        <v>Issued</v>
      </c>
      <c r="E476">
        <v>45355</v>
      </c>
      <c r="F476" t="str">
        <v>Roof Mounted Solar PV System - 393 sq ft, 20x370W Modules, System Capacity: 7.4</v>
      </c>
      <c r="G476">
        <v>7.4</v>
      </c>
      <c r="H476" t="str">
        <v>Building Residential</v>
      </c>
      <c r="I476">
        <v>45341</v>
      </c>
      <c r="J476">
        <v>45464</v>
      </c>
      <c r="K476" t="str">
        <v>Warwick</v>
      </c>
      <c r="L476">
        <v>47182</v>
      </c>
      <c r="M476">
        <v>45453</v>
      </c>
      <c r="N476" t="str">
        <v/>
      </c>
      <c r="O476" t="str">
        <v>Yes</v>
      </c>
      <c r="P476">
        <v>32.277845</v>
      </c>
      <c r="Q476">
        <v>-64.798117</v>
      </c>
    </row>
    <row r="477" xml:space="preserve">
      <c r="A477" t="str">
        <v>BR0035-24</v>
      </c>
      <c r="B477" t="str" xml:space="preserve">
        <v xml:space="preserve">28 Keith Hall Road_x000d__x000d_
Warwick, BM WK06</v>
      </c>
      <c r="C477" t="str">
        <v>Building - Residential</v>
      </c>
      <c r="D477" t="str">
        <v>Complete</v>
      </c>
      <c r="E477">
        <v>45355</v>
      </c>
      <c r="F477" t="str" xml:space="preserve">
        <v xml:space="preserve">Proposed Roof Mounted Solar PV Systems on Barn - 34x370W modules, System Capacity:_x000d__x000d_
12.58 668sqft to Supply #28 Keith Hall Rd.</v>
      </c>
      <c r="G477">
        <v>12.58</v>
      </c>
      <c r="H477" t="str">
        <v>Building Residential</v>
      </c>
      <c r="I477">
        <v>45341</v>
      </c>
      <c r="J477">
        <v>45464</v>
      </c>
      <c r="K477" t="str">
        <v>Warwick</v>
      </c>
      <c r="L477">
        <v>47182</v>
      </c>
      <c r="M477">
        <v>45453</v>
      </c>
      <c r="N477" t="str">
        <v/>
      </c>
      <c r="O477" t="str">
        <v>Yes</v>
      </c>
      <c r="P477">
        <v>32.2756</v>
      </c>
      <c r="Q477">
        <v>-64.797609</v>
      </c>
    </row>
    <row r="478" xml:space="preserve">
      <c r="A478" t="str">
        <v>B0071-24</v>
      </c>
      <c r="B478" t="str" xml:space="preserve">
        <v xml:space="preserve">8 Riviera Road_x000d__x000d_
Southampton, BM SN03</v>
      </c>
      <c r="C478" t="str">
        <v>Permitted Development</v>
      </c>
      <c r="D478" t="str">
        <v>Issued</v>
      </c>
      <c r="E478">
        <v>45357</v>
      </c>
      <c r="F478" t="str">
        <v>Roof Top Solar, 17 - 395W PV Modules, (6.72), Annual Production 10,180h, Total Area 377 Square Feet.</v>
      </c>
      <c r="G478">
        <v>6.72</v>
      </c>
      <c r="H478" t="str">
        <v>Residential</v>
      </c>
      <c r="I478">
        <v>45350</v>
      </c>
      <c r="J478">
        <v>45401</v>
      </c>
      <c r="K478" t="str">
        <v>Southampton</v>
      </c>
      <c r="L478">
        <v>47183</v>
      </c>
      <c r="M478">
        <v>45390</v>
      </c>
      <c r="N478" t="str">
        <v/>
      </c>
      <c r="O478" t="str">
        <v>Yes</v>
      </c>
      <c r="P478">
        <v>32.257463</v>
      </c>
      <c r="Q478">
        <v>-64.827027</v>
      </c>
    </row>
    <row r="479" xml:space="preserve">
      <c r="A479" t="str">
        <v>B0046-24</v>
      </c>
      <c r="B479" t="str" xml:space="preserve">
        <v xml:space="preserve">6 Mission Crescent_x000d__x000d_
Paget, BM PG06</v>
      </c>
      <c r="C479" t="str">
        <v>Permitted Development</v>
      </c>
      <c r="D479" t="str">
        <v>Complete</v>
      </c>
      <c r="E479">
        <v>45365</v>
      </c>
      <c r="F479" t="str">
        <v>Roof Mounted Solar PV System - 410 sq ft, 21x370W Modules, System Capacity: 7.77</v>
      </c>
      <c r="G479">
        <v>7.77</v>
      </c>
      <c r="H479" t="str">
        <v>Residential</v>
      </c>
      <c r="I479">
        <v>45331</v>
      </c>
      <c r="J479">
        <v>46195</v>
      </c>
      <c r="K479" t="str">
        <v>Paget</v>
      </c>
      <c r="L479">
        <v>47191</v>
      </c>
      <c r="M479">
        <v>45477</v>
      </c>
      <c r="N479" t="str">
        <v/>
      </c>
      <c r="O479" t="str">
        <v>Yes</v>
      </c>
      <c r="P479">
        <v>32.279867</v>
      </c>
      <c r="Q479">
        <v>-64.773622</v>
      </c>
    </row>
    <row r="480" xml:space="preserve">
      <c r="A480" t="str">
        <v>B0085-24</v>
      </c>
      <c r="B480" t="str" xml:space="preserve">
        <v xml:space="preserve">41 St. Mary's Road_x000d__x000d_
Warwick, BM WK06</v>
      </c>
      <c r="C480" t="str">
        <v>Permitted Development</v>
      </c>
      <c r="D480" t="str">
        <v>Issued</v>
      </c>
      <c r="E480">
        <v>45369</v>
      </c>
      <c r="F480" t="str">
        <v xml:space="preserve">Ground Mounted Solar PV System - 620 sq ft, 24x370W Modules, System Capacity: 8.88 </v>
      </c>
      <c r="G480">
        <v>8.88</v>
      </c>
      <c r="H480" t="str">
        <v>Residential</v>
      </c>
      <c r="I480">
        <v>45359</v>
      </c>
      <c r="J480">
        <v>45477</v>
      </c>
      <c r="K480" t="str">
        <v>Warwick</v>
      </c>
      <c r="L480">
        <v>47196</v>
      </c>
      <c r="M480">
        <v>45453</v>
      </c>
      <c r="N480" t="str">
        <v/>
      </c>
      <c r="O480" t="str">
        <v>Yes</v>
      </c>
      <c r="P480">
        <v>32.27150525</v>
      </c>
      <c r="Q480">
        <v>-64.805102125</v>
      </c>
    </row>
    <row r="481" xml:space="preserve">
      <c r="A481" t="str">
        <v>B0485-23</v>
      </c>
      <c r="B481" t="str" xml:space="preserve">
        <v xml:space="preserve">15 Southampton Road_x000d__x000d_
Southampton, BM SB04</v>
      </c>
      <c r="C481" t="str">
        <v>Permitted Development</v>
      </c>
      <c r="D481" t="str">
        <v>Issued</v>
      </c>
      <c r="E481">
        <v>45370</v>
      </c>
      <c r="F481" t="str" xml:space="preserve">
        <v xml:space="preserve">ADDITION OF 10 SILFAB 370W MODULES TO ROOF. 3700W TOTAL. 196.5sf total area. 5.55h/annum_x000d_
RELOCATION OF 12 EXISTING MITSUBISHI 260W MODULES TO WALL</v>
      </c>
      <c r="G481">
        <v>6.82</v>
      </c>
      <c r="H481" t="str">
        <v>Residential</v>
      </c>
      <c r="I481">
        <v>45266</v>
      </c>
      <c r="J481" t="str">
        <v/>
      </c>
      <c r="K481" t="str">
        <v>Southampton</v>
      </c>
      <c r="L481">
        <v>47196</v>
      </c>
      <c r="M481">
        <v>45533</v>
      </c>
      <c r="N481" t="str">
        <v/>
      </c>
      <c r="O481" t="str">
        <v>Yes</v>
      </c>
      <c r="P481">
        <v>32.251302</v>
      </c>
      <c r="Q481">
        <v>-64.863728</v>
      </c>
    </row>
    <row r="482" xml:space="preserve">
      <c r="A482" t="str">
        <v>BR0054-24</v>
      </c>
      <c r="B482" t="str" xml:space="preserve">
        <v xml:space="preserve">30 Gilbert Hill_x000d__x000d_
Smiths, BM FL05</v>
      </c>
      <c r="C482" t="str">
        <v>Building - Residential</v>
      </c>
      <c r="D482" t="str">
        <v>Complete</v>
      </c>
      <c r="E482">
        <v>45371</v>
      </c>
      <c r="F482" t="str">
        <v>Proposed Roof Mounted Solar PV System: 14 Panels @ 405W/Panel, 19.9 sq ft/Panel, Total sq. ft. 278.6, Total System Capacity 5.67 , Total Annual Output 8,222 h *Revision 1: Panel location and orientation has changed.</v>
      </c>
      <c r="G482">
        <v>5.67</v>
      </c>
      <c r="H482" t="str">
        <v>Building Residential</v>
      </c>
      <c r="I482">
        <v>45356</v>
      </c>
      <c r="J482">
        <v>45434</v>
      </c>
      <c r="K482" t="str">
        <v>Smiths</v>
      </c>
      <c r="L482">
        <v>47197</v>
      </c>
      <c r="M482">
        <v>45421</v>
      </c>
      <c r="N482" t="str">
        <v/>
      </c>
      <c r="O482" t="str">
        <v>Yes</v>
      </c>
      <c r="P482">
        <v>32.310041</v>
      </c>
      <c r="Q482">
        <v>-64.739027</v>
      </c>
    </row>
    <row r="483" xml:space="preserve">
      <c r="A483" t="str">
        <v>BR0229-23</v>
      </c>
      <c r="B483" t="str" xml:space="preserve">
        <v xml:space="preserve">1 Jones Lane_x000d__x000d_
Warwick, BM PG01</v>
      </c>
      <c r="C483" t="str">
        <v>Building - Residential</v>
      </c>
      <c r="D483" t="str">
        <v>Issue Certificate</v>
      </c>
      <c r="E483">
        <v>45371</v>
      </c>
      <c r="F483" t="str">
        <v>Proposed Reconstruction of Kitchen, Addition of New Laundry, Basement, First Floor, and Pergola, 8 x 350 Watt Roof Mounted Solar Panels, 152 sq ft  - Total Capacity 2800h *Revision 1: Revised basement concrete slab structural specifications *Revision 1: Increase in floor to floor height to 9'-6"; Reconfiguration of master bath and bedroom, kitchen and laundry; 6'-0" increase in length of basement floor; Increase depth of window well; Reconfiguration of north wall of addition.</v>
      </c>
      <c r="G483">
        <v>2.8</v>
      </c>
      <c r="H483" t="str">
        <v>Building Residential</v>
      </c>
      <c r="I483">
        <v>45280</v>
      </c>
      <c r="J483" t="str">
        <v/>
      </c>
      <c r="K483" t="str">
        <v>Warwick</v>
      </c>
      <c r="L483">
        <v>47197</v>
      </c>
      <c r="M483">
        <v>45622</v>
      </c>
      <c r="N483" t="str">
        <v/>
      </c>
      <c r="O483" t="str">
        <v>Yes</v>
      </c>
      <c r="P483">
        <v>32.280109</v>
      </c>
      <c r="Q483">
        <v>-64.795768</v>
      </c>
    </row>
    <row r="484" xml:space="preserve">
      <c r="A484" t="str">
        <v>B0090-24</v>
      </c>
      <c r="B484" t="str" xml:space="preserve">
        <v xml:space="preserve">12 Speakers Drive_x000d__x000d_
St. George's, BM GE02</v>
      </c>
      <c r="C484" t="str">
        <v>Permitted Development</v>
      </c>
      <c r="D484" t="str">
        <v>Complete</v>
      </c>
      <c r="E484">
        <v>45373</v>
      </c>
      <c r="F484" t="str" xml:space="preserve">
        <v xml:space="preserve">Removal of Existing Ground Mounted PV Modules and Inverters:_x000d__x000d_
24x Mitsubishi 260W, 24x Enphase, M215 Microinverters,System Capacity: 6.24_x000d__x000d_
_x000d__x000d_
Using Existing Rail and Supports, Replace System with New PV Modules and Inverters:_x000d__x000d_
24x Aptos 370W, 24x Enphase IQ7+ Microinverters, System Capacity: 8.88, 471 sq ft</v>
      </c>
      <c r="G484">
        <v>8.88</v>
      </c>
      <c r="H484" t="str">
        <v>Residential</v>
      </c>
      <c r="I484">
        <v>45365</v>
      </c>
      <c r="J484">
        <v>45503</v>
      </c>
      <c r="K484" t="str">
        <v>St. George</v>
      </c>
      <c r="L484">
        <v>47199</v>
      </c>
      <c r="M484">
        <v>45450</v>
      </c>
      <c r="N484" t="str">
        <v/>
      </c>
      <c r="O484" t="str">
        <v>Yes</v>
      </c>
      <c r="P484">
        <v>32.3778111</v>
      </c>
      <c r="Q484">
        <v>-64.6851087</v>
      </c>
    </row>
    <row r="485" xml:space="preserve">
      <c r="A485" t="str">
        <v>B0081-24</v>
      </c>
      <c r="B485" t="str" xml:space="preserve">
        <v xml:space="preserve">119 Harbour View Drive_x000d__x000d_
Southampton, BM SN02</v>
      </c>
      <c r="C485" t="str">
        <v>Permitted Development</v>
      </c>
      <c r="D485" t="str">
        <v>Issued</v>
      </c>
      <c r="E485">
        <v>45373</v>
      </c>
      <c r="F485" t="str">
        <v>Roof Mounted Solar PV System - 586 sq ft, 25x440W Modules, System Capacity: 11</v>
      </c>
      <c r="G485">
        <v>11</v>
      </c>
      <c r="H485" t="str">
        <v>Residential</v>
      </c>
      <c r="I485">
        <v>45359</v>
      </c>
      <c r="J485">
        <v>45492</v>
      </c>
      <c r="K485" t="str">
        <v>Southampton</v>
      </c>
      <c r="L485">
        <v>47199</v>
      </c>
      <c r="M485">
        <v>45461</v>
      </c>
      <c r="N485" t="str">
        <v/>
      </c>
      <c r="O485" t="str">
        <v>Yes</v>
      </c>
      <c r="P485">
        <v>32.251219</v>
      </c>
      <c r="Q485">
        <v>-64.826426</v>
      </c>
    </row>
    <row r="486" xml:space="preserve">
      <c r="A486" t="str">
        <v>B0087-24</v>
      </c>
      <c r="B486" t="str" xml:space="preserve">
        <v xml:space="preserve">5 Woodstock Hill_x000d__x000d_
Paget, BM PG06</v>
      </c>
      <c r="C486" t="str">
        <v>Permitted Development</v>
      </c>
      <c r="D486" t="str">
        <v>Issued</v>
      </c>
      <c r="E486">
        <v>45373</v>
      </c>
      <c r="F486" t="str">
        <v xml:space="preserve">Roof Mounted Solar PV System - 773 sq ft, 33x440W Modules, System Capacity: 14.52 </v>
      </c>
      <c r="G486">
        <v>14.52</v>
      </c>
      <c r="H486" t="str">
        <v>Residential</v>
      </c>
      <c r="I486">
        <v>45364</v>
      </c>
      <c r="J486">
        <v>45455</v>
      </c>
      <c r="K486" t="str">
        <v>Paget</v>
      </c>
      <c r="L486">
        <v>47199</v>
      </c>
      <c r="M486">
        <v>45442</v>
      </c>
      <c r="N486" t="str">
        <v/>
      </c>
      <c r="O486" t="str">
        <v>Yes</v>
      </c>
      <c r="P486">
        <v>32.287189</v>
      </c>
      <c r="Q486">
        <v>-64.764582</v>
      </c>
    </row>
    <row r="487" xml:space="preserve">
      <c r="A487" t="str">
        <v>B0086-24</v>
      </c>
      <c r="B487" t="str" xml:space="preserve">
        <v xml:space="preserve">5 Mcgalls Hill Court_x000d__x000d_
Smiths, BM FL05</v>
      </c>
      <c r="C487" t="str">
        <v>Permitted Development</v>
      </c>
      <c r="D487" t="str">
        <v>Issued</v>
      </c>
      <c r="E487">
        <v>45373</v>
      </c>
      <c r="F487" t="str" xml:space="preserve">
        <v xml:space="preserve">Solar PV System: Additional 8 Panels Added to Existing PV System @ 405 W/Panel; 19.9 sq ft/Panel; Total (Added) sq ft 159.2; Total (Added) System Capacity 3.24 ; Total (Added) Annual Output 4,698 h | 2 Tesla Powerwall @ 13.5 / Powerwall; Total System Capacity 27 ; 4.48 sq ft/ Powerwall; Total sq ft 8.96_x000d__x000d_
_x000d__x000d_
Total System: 691.2 sq ft; Total System Capacity 14.44; Total Annual Output 20,938 h | 2 Tesla Powerwall @ 13.5 / Powerwall; Total System Capacity 27 ; 4.48 sq ft/ Powerwall; Total sq ft 8.96</v>
      </c>
      <c r="G487">
        <v>14.44</v>
      </c>
      <c r="H487" t="str">
        <v>Residential</v>
      </c>
      <c r="I487">
        <v>45362</v>
      </c>
      <c r="J487" t="str">
        <v/>
      </c>
      <c r="K487" t="str">
        <v>Smiths</v>
      </c>
      <c r="L487">
        <v>47199</v>
      </c>
      <c r="M487">
        <v>45503</v>
      </c>
      <c r="N487" t="str">
        <v/>
      </c>
      <c r="O487" t="str">
        <v>Yes</v>
      </c>
      <c r="P487">
        <v>32.309941</v>
      </c>
      <c r="Q487">
        <v>-64.736715</v>
      </c>
    </row>
    <row r="488" xml:space="preserve">
      <c r="A488" t="str">
        <v>B0088-24</v>
      </c>
      <c r="B488" t="str" xml:space="preserve">
        <v xml:space="preserve">6 Hibiscus Lane_x000d__x000d_
Pembroke, BM HM20</v>
      </c>
      <c r="C488" t="str">
        <v>Permitted Development</v>
      </c>
      <c r="D488" t="str">
        <v>Issued</v>
      </c>
      <c r="E488">
        <v>45373</v>
      </c>
      <c r="F488" t="str">
        <v>Roof Mounted Solar PV System: 15 Panels @ 405 W/Panel; 19.9 sq ft/Panel; Total sq ft 298.5; Total System Capacity 6 ; Total Annual Output 8,808 h | Tesla Powerwall: 1 Tesla Powerwall @ 13.5 /Powerwall; Total System Capacity 13.5 ; 4.46 sq ft/Powerwall; Total sq ft 4.46</v>
      </c>
      <c r="G488">
        <v>6</v>
      </c>
      <c r="H488" t="str">
        <v>Residential</v>
      </c>
      <c r="I488">
        <v>45364</v>
      </c>
      <c r="J488">
        <v>45464</v>
      </c>
      <c r="K488" t="str">
        <v>Pembroke</v>
      </c>
      <c r="L488">
        <v>47199</v>
      </c>
      <c r="M488">
        <v>45462</v>
      </c>
      <c r="N488" t="str">
        <v/>
      </c>
      <c r="O488" t="str">
        <v>Yes</v>
      </c>
      <c r="P488">
        <v>32.294973</v>
      </c>
      <c r="Q488">
        <v>-64.774144</v>
      </c>
    </row>
    <row r="489" xml:space="preserve">
      <c r="A489" t="str">
        <v>BR0059-24</v>
      </c>
      <c r="B489" t="str" xml:space="preserve">
        <v xml:space="preserve">4 Burgess Point Road_x000d__x000d_
Warwick, BM WK04</v>
      </c>
      <c r="C489" t="str">
        <v>Building - Residential</v>
      </c>
      <c r="D489" t="str">
        <v>Complete</v>
      </c>
      <c r="E489">
        <v>45373</v>
      </c>
      <c r="F489" t="str">
        <v>Proposed Roof Mounted Solar PV System: 35 Panels @ 405W/Panel, 19.9 sq ft/Panel, Total sq. ft. 696.5, Total System Capacity 14.17 , Total Annual Output 20,554 . *Revision 1: 3 panels from east array moving closer to centre of house.</v>
      </c>
      <c r="G489">
        <v>14.17</v>
      </c>
      <c r="H489" t="str">
        <v>Building Residential</v>
      </c>
      <c r="I489">
        <v>45363</v>
      </c>
      <c r="J489">
        <v>45449</v>
      </c>
      <c r="K489" t="str">
        <v>Warwick</v>
      </c>
      <c r="L489">
        <v>47199</v>
      </c>
      <c r="M489">
        <v>45434</v>
      </c>
      <c r="N489" t="str">
        <v/>
      </c>
      <c r="O489" t="str">
        <v>Yes</v>
      </c>
      <c r="P489">
        <v>32.2675509</v>
      </c>
      <c r="Q489">
        <v>-64.8258986</v>
      </c>
    </row>
    <row r="490" xml:space="preserve">
      <c r="A490" t="str">
        <v>B0093-24</v>
      </c>
      <c r="B490" t="str" xml:space="preserve">
        <v xml:space="preserve">5 Bayfield Road_x000d__x000d_
Warwick, BM WK04</v>
      </c>
      <c r="C490" t="str">
        <v>Permitted Development</v>
      </c>
      <c r="D490" t="str">
        <v>Complete</v>
      </c>
      <c r="E490">
        <v>45373</v>
      </c>
      <c r="F490" t="str">
        <v>Roof Top Solar, 18 - 345W PV Modules, (6.21 ), Annual Production 9,246 h, Total Area 363 Square Feet.</v>
      </c>
      <c r="G490">
        <v>6.21</v>
      </c>
      <c r="H490" t="str">
        <v>Residential</v>
      </c>
      <c r="I490">
        <v>45366</v>
      </c>
      <c r="J490">
        <v>45449</v>
      </c>
      <c r="K490" t="str">
        <v>Warwick</v>
      </c>
      <c r="L490">
        <v>47199</v>
      </c>
      <c r="M490">
        <v>45439</v>
      </c>
      <c r="N490" t="str">
        <v/>
      </c>
      <c r="O490" t="str">
        <v>Yes</v>
      </c>
      <c r="P490">
        <v>32.2647901</v>
      </c>
      <c r="Q490">
        <v>-64.8186259</v>
      </c>
    </row>
    <row r="491" xml:space="preserve">
      <c r="A491" t="str">
        <v>BR0004-24</v>
      </c>
      <c r="B491" t="str" xml:space="preserve">
        <v xml:space="preserve">121 Harrington Sound Road_x000d__x000d_
Smiths, BM HS02</v>
      </c>
      <c r="C491" t="str">
        <v>Building - Residential</v>
      </c>
      <c r="D491" t="str">
        <v>Issued</v>
      </c>
      <c r="E491">
        <v>45378</v>
      </c>
      <c r="F491" t="str" xml:space="preserve">
        <v xml:space="preserve">Proposed Installation of Ground Mounted PV System - 18 Panels, Total sq. ft. 356.4, Total System Capacity 7.29, Total Annual Output 10,570 h._x000d_
Note: Building only P0241-23</v>
      </c>
      <c r="G491">
        <v>7.29</v>
      </c>
      <c r="H491" t="str">
        <v>Building Residential</v>
      </c>
      <c r="I491">
        <v>45299</v>
      </c>
      <c r="J491" t="str">
        <v/>
      </c>
      <c r="K491" t="str">
        <v>Bermuda</v>
      </c>
      <c r="L491">
        <v>47204</v>
      </c>
      <c r="M491">
        <v>45440</v>
      </c>
      <c r="N491" t="str">
        <v/>
      </c>
      <c r="O491" t="str">
        <v>Yes</v>
      </c>
      <c r="P491">
        <v>32.328542</v>
      </c>
      <c r="Q491">
        <v>-64.714037</v>
      </c>
    </row>
    <row r="492" xml:space="preserve">
      <c r="A492" t="str">
        <v>B0105-24</v>
      </c>
      <c r="B492" t="str" xml:space="preserve">
        <v xml:space="preserve">1 Between The Walls_x000d__x000d_
Pembroke, BM HM06</v>
      </c>
      <c r="C492" t="str">
        <v>Permitted Development</v>
      </c>
      <c r="D492" t="str">
        <v>Complete</v>
      </c>
      <c r="E492">
        <v>45385</v>
      </c>
      <c r="F492" t="str">
        <v>Roof Mounted Solar PV System - 305 sq ft, 13x370W Modules, System Capacity: 4.81</v>
      </c>
      <c r="G492">
        <v>4.81</v>
      </c>
      <c r="H492" t="str">
        <v>Residential</v>
      </c>
      <c r="I492">
        <v>45372</v>
      </c>
      <c r="J492">
        <v>45559</v>
      </c>
      <c r="K492" t="str">
        <v>Pembroke</v>
      </c>
      <c r="L492">
        <v>47211</v>
      </c>
      <c r="M492">
        <v>45555</v>
      </c>
      <c r="N492" t="str">
        <v/>
      </c>
      <c r="O492" t="str">
        <v>Yes</v>
      </c>
      <c r="P492">
        <v>32.292103</v>
      </c>
      <c r="Q492">
        <v>-64.79373</v>
      </c>
    </row>
    <row r="493" xml:space="preserve">
      <c r="A493" t="str">
        <v>B0102-24</v>
      </c>
      <c r="B493" t="str" xml:space="preserve">
        <v xml:space="preserve">15 Tablerock Avenue_x000d__x000d_
Pembroke, BM HM04</v>
      </c>
      <c r="C493" t="str">
        <v>Permitted Development</v>
      </c>
      <c r="D493" t="str">
        <v>Complete</v>
      </c>
      <c r="E493">
        <v>45385</v>
      </c>
      <c r="F493" t="str">
        <v>Roof Mounted Solar PV System: 9 Panels @ 405 W/Panel; 19.9 sq ft/Panel; Total sq ft 179.1; Total System Capacity 3.64 ; Total Annual Output 5,285 h *Revision 1: Revision 1: Roof Mounted Solar PV System: 9 Panels @ 420 W/Panel; 20.8 sq ft/Panel; Total sq ft 187.2; Total System Capacity 3.78 ; Total Annual Output 5,481 h Note -  Panel size and system size increased.</v>
      </c>
      <c r="G493">
        <v>3.78</v>
      </c>
      <c r="H493" t="str">
        <v>Residential</v>
      </c>
      <c r="I493">
        <v>45371</v>
      </c>
      <c r="J493">
        <v>45643</v>
      </c>
      <c r="K493" t="str">
        <v>Pembroke</v>
      </c>
      <c r="L493">
        <v>47211</v>
      </c>
      <c r="M493">
        <v>45589</v>
      </c>
      <c r="N493" t="str">
        <v/>
      </c>
      <c r="O493" t="str">
        <v>Yes</v>
      </c>
      <c r="P493">
        <v>32.3040707</v>
      </c>
      <c r="Q493">
        <v>-64.7980735</v>
      </c>
    </row>
    <row r="494" xml:space="preserve">
      <c r="A494" t="str">
        <v>B0091-24</v>
      </c>
      <c r="B494" t="str" xml:space="preserve">
        <v xml:space="preserve">9 Burnt Hill Lane_x000d__x000d_
Warwick, BM WK04</v>
      </c>
      <c r="C494" t="str">
        <v>Permitted Development</v>
      </c>
      <c r="D494" t="str">
        <v>Complete</v>
      </c>
      <c r="E494">
        <v>45385</v>
      </c>
      <c r="F494" t="str">
        <v>Roof Mounted Solar PV System: 24 Panels @ 405 W/Panel; 19.9 sq ft/Panel; Total sq ft 477.6; Total System Capacity 9.72 ; Total Annual Output 14,094 h *Revision 1: Roof Mounted Solar PV System: 24 Panels @ 405 W/Panel; 19.9 sq ft/Panel; Total sq ft 477.6; Total System Capacity 9.72 ; Total Annual Output 14,094 h; 1 panel location has changed.</v>
      </c>
      <c r="G494">
        <v>9.72</v>
      </c>
      <c r="H494" t="str">
        <v>Residential</v>
      </c>
      <c r="I494">
        <v>45365</v>
      </c>
      <c r="J494">
        <v>46146</v>
      </c>
      <c r="K494" t="str">
        <v>Warwick</v>
      </c>
      <c r="L494">
        <v>47211</v>
      </c>
      <c r="M494">
        <v>45443</v>
      </c>
      <c r="N494" t="str">
        <v/>
      </c>
      <c r="O494" t="str">
        <v>Yes</v>
      </c>
      <c r="P494">
        <v>32.266334</v>
      </c>
      <c r="Q494">
        <v>-64.816241</v>
      </c>
    </row>
    <row r="495" xml:space="preserve">
      <c r="A495" t="str">
        <v>B0104-24</v>
      </c>
      <c r="B495" t="str" xml:space="preserve">
        <v xml:space="preserve">20 Grasmere Road_x000d__x000d_
Pembroke, BM HM05</v>
      </c>
      <c r="C495" t="str">
        <v>Permitted Development</v>
      </c>
      <c r="D495" t="str">
        <v>Complete</v>
      </c>
      <c r="E495">
        <v>45390</v>
      </c>
      <c r="F495" t="str">
        <v>Upgrade and Increase Size of Ground Mounted Solar PV System - 773 sq ft, 33x440W Modules, System Capacity: 14.52; Extend and Match Existing Wall to Support Extended Solar Array; Remove Existing Solar PV Modules (18) to Allow for Upgrade. *Revision 1: retaining wall, in place of extended free standing wall *Revision 2: Ground Mounted System add 3 PV modules, change model of PV modules, extend wall 36x440W modules = 15.84 DC, 12.564 AC *Revision 3: add wall mounted battery system 40h, update solar PV circuits -  Power: 14.56 Energy: 40h</v>
      </c>
      <c r="G495">
        <v>14.52</v>
      </c>
      <c r="H495" t="str">
        <v>Residential</v>
      </c>
      <c r="I495">
        <v>45371</v>
      </c>
      <c r="J495">
        <v>45922</v>
      </c>
      <c r="K495" t="str">
        <v>Pembroke</v>
      </c>
      <c r="L495">
        <v>47217</v>
      </c>
      <c r="M495">
        <v>45912</v>
      </c>
      <c r="N495" t="str">
        <v/>
      </c>
      <c r="O495" t="str">
        <v>Yes</v>
      </c>
      <c r="P495">
        <v>32.300356</v>
      </c>
      <c r="Q495">
        <v>-64.807231</v>
      </c>
    </row>
    <row r="496" xml:space="preserve">
      <c r="A496" t="str">
        <v>B0129-24</v>
      </c>
      <c r="B496" t="str" xml:space="preserve">
        <v xml:space="preserve">26 Jennings Bay Road_x000d__x000d_
Southampton, BM SB04</v>
      </c>
      <c r="C496" t="str">
        <v>Permitted Development</v>
      </c>
      <c r="D496" t="str">
        <v>Complete</v>
      </c>
      <c r="E496">
        <v>45404</v>
      </c>
      <c r="F496" t="str">
        <v>Roof Mounted Solar PV System - 280 sq ft, 12x440W Modules, System Capacity: 5.28</v>
      </c>
      <c r="G496">
        <v>5.28</v>
      </c>
      <c r="H496" t="str">
        <v>Residential</v>
      </c>
      <c r="I496">
        <v>45385</v>
      </c>
      <c r="J496">
        <v>45586</v>
      </c>
      <c r="K496" t="str">
        <v>Southampton</v>
      </c>
      <c r="L496">
        <v>47231</v>
      </c>
      <c r="M496">
        <v>45548</v>
      </c>
      <c r="N496" t="str">
        <v/>
      </c>
      <c r="O496" t="str">
        <v>Yes</v>
      </c>
      <c r="P496">
        <v>32.258021</v>
      </c>
      <c r="Q496">
        <v>-64.86375</v>
      </c>
    </row>
    <row r="497" xml:space="preserve">
      <c r="A497" t="str">
        <v>B0126-24</v>
      </c>
      <c r="B497" t="str" xml:space="preserve">
        <v xml:space="preserve">5 Rocky Ridge Road_x000d__x000d_
Smiths, BM HS02</v>
      </c>
      <c r="C497" t="str">
        <v>Permitted Development</v>
      </c>
      <c r="D497" t="str">
        <v>Issued</v>
      </c>
      <c r="E497">
        <v>45404</v>
      </c>
      <c r="F497" t="str">
        <v>Roof-Mounted Solar PV System: 12 Panels @ 405 W/Panel; 19.9 sq ft/Panel; Total sq ft 238.8; Total System Capacity 4.86 ; Total Annual Output 7,047 h</v>
      </c>
      <c r="G497">
        <v>4.86</v>
      </c>
      <c r="H497" t="str">
        <v>Residential</v>
      </c>
      <c r="I497">
        <v>45383</v>
      </c>
      <c r="J497">
        <v>45462</v>
      </c>
      <c r="K497" t="str">
        <v>Smiths</v>
      </c>
      <c r="L497">
        <v>47231</v>
      </c>
      <c r="M497">
        <v>45447</v>
      </c>
      <c r="N497" t="str">
        <v/>
      </c>
      <c r="O497" t="str">
        <v>Yes</v>
      </c>
      <c r="P497">
        <v>32.325188</v>
      </c>
      <c r="Q497">
        <v>-64.715632</v>
      </c>
    </row>
    <row r="498" xml:space="preserve">
      <c r="A498" t="str">
        <v>B0114-24</v>
      </c>
      <c r="B498" t="str" xml:space="preserve">
        <v xml:space="preserve">59 Spice Hill Road_x000d__x000d_
Warwick, BM WK03</v>
      </c>
      <c r="C498" t="str">
        <v>Permitted Development</v>
      </c>
      <c r="D498" t="str">
        <v>Complete</v>
      </c>
      <c r="E498">
        <v>45404</v>
      </c>
      <c r="F498" t="str">
        <v>Roof Mounted Solar PV System: 39 Panels @ 405 W/Panel; 19.9 sq ft/Panel; Total sq ft 776.1; Total System Capacity 15.79 ; Total Annual Output 22,902 h</v>
      </c>
      <c r="G498">
        <v>15.79</v>
      </c>
      <c r="H498" t="str">
        <v>Residential</v>
      </c>
      <c r="I498">
        <v>45377</v>
      </c>
      <c r="J498">
        <v>45477</v>
      </c>
      <c r="K498" t="str">
        <v>Warwick</v>
      </c>
      <c r="L498">
        <v>47231</v>
      </c>
      <c r="M498">
        <v>45464</v>
      </c>
      <c r="N498" t="str">
        <v/>
      </c>
      <c r="O498" t="str">
        <v>Yes</v>
      </c>
      <c r="P498">
        <v>32.26177</v>
      </c>
      <c r="Q498">
        <v>-64.810261</v>
      </c>
    </row>
    <row r="499" xml:space="preserve">
      <c r="A499" t="str">
        <v>B0127-24</v>
      </c>
      <c r="B499" t="str" xml:space="preserve">
        <v xml:space="preserve">9 Berry Hill Road_x000d__x000d_
Paget, BM DV03</v>
      </c>
      <c r="C499" t="str">
        <v>Permitted Development</v>
      </c>
      <c r="D499" t="str">
        <v>Issued</v>
      </c>
      <c r="E499">
        <v>45404</v>
      </c>
      <c r="F499" t="str">
        <v>Roof Mounted Solar PV System - 749 sq ft, 32x440W PV Modules, System Capacity: 14.08, Wall Mounted Battery System - 10h</v>
      </c>
      <c r="G499">
        <v>14.08</v>
      </c>
      <c r="H499" t="str">
        <v>Commercial</v>
      </c>
      <c r="I499">
        <v>45384</v>
      </c>
      <c r="J499">
        <v>45478</v>
      </c>
      <c r="K499" t="str">
        <v>Paget</v>
      </c>
      <c r="L499">
        <v>47231</v>
      </c>
      <c r="M499">
        <v>45463</v>
      </c>
      <c r="N499" t="str">
        <v/>
      </c>
      <c r="O499" t="str">
        <v>Yes</v>
      </c>
      <c r="P499">
        <v>32.2940416</v>
      </c>
      <c r="Q499">
        <v>-64.7640316</v>
      </c>
    </row>
    <row r="500" xml:space="preserve">
      <c r="A500" t="str">
        <v>B0487-23</v>
      </c>
      <c r="B500" t="str" xml:space="preserve">
        <v xml:space="preserve">49 Bloomfield Drive_x000d__x000d_
Warwick, BM WK04</v>
      </c>
      <c r="C500" t="str">
        <v>Permitted Development</v>
      </c>
      <c r="D500" t="str">
        <v>Complete</v>
      </c>
      <c r="E500">
        <v>45404</v>
      </c>
      <c r="F500" t="str">
        <v>Roof Mounted Solar PV System - 727 sq ft, 37x370W Modules, System Capacity: 13.69, Wall Mounted Battery System - 20h</v>
      </c>
      <c r="G500">
        <v>13.69</v>
      </c>
      <c r="H500" t="str">
        <v>Residential</v>
      </c>
      <c r="I500">
        <v>45268</v>
      </c>
      <c r="J500">
        <v>46073</v>
      </c>
      <c r="K500" t="str">
        <v>Warwick</v>
      </c>
      <c r="L500">
        <v>47231</v>
      </c>
      <c r="M500">
        <v>45517</v>
      </c>
      <c r="N500" t="str">
        <v/>
      </c>
      <c r="O500" t="str">
        <v>Yes</v>
      </c>
      <c r="P500">
        <v>32.293934</v>
      </c>
      <c r="Q500">
        <v>-64.769054</v>
      </c>
    </row>
    <row r="501" xml:space="preserve">
      <c r="A501" t="str">
        <v>B0120-24</v>
      </c>
      <c r="B501" t="str" xml:space="preserve">
        <v xml:space="preserve">54 Serpentine Road_x000d__x000d_
Pembroke, BM HM08</v>
      </c>
      <c r="C501" t="str">
        <v>Permitted Development</v>
      </c>
      <c r="D501" t="str">
        <v>Complete</v>
      </c>
      <c r="E501">
        <v>45404</v>
      </c>
      <c r="F501" t="str">
        <v>Roof Mounted Solar PV System - 586 sq ft, 30x370W Modules, System Capacity: 11.1</v>
      </c>
      <c r="G501">
        <v>11.1</v>
      </c>
      <c r="H501" t="str">
        <v>Commercial</v>
      </c>
      <c r="I501">
        <v>45379</v>
      </c>
      <c r="J501">
        <v>45478</v>
      </c>
      <c r="K501" t="str">
        <v>Pembroke</v>
      </c>
      <c r="L501">
        <v>47231</v>
      </c>
      <c r="M501">
        <v>45467</v>
      </c>
      <c r="N501" t="str">
        <v/>
      </c>
      <c r="O501" t="str">
        <v>Yes</v>
      </c>
      <c r="P501">
        <v>32.2959924</v>
      </c>
      <c r="Q501">
        <v>-64.7891301</v>
      </c>
    </row>
    <row r="502" xml:space="preserve">
      <c r="A502" t="str">
        <v>B0112-24</v>
      </c>
      <c r="B502" t="str" xml:space="preserve">
        <v xml:space="preserve">88 Sound View Road_x000d__x000d_
Sandys, BM MA04</v>
      </c>
      <c r="C502" t="str">
        <v>Permitted Development</v>
      </c>
      <c r="D502" t="str">
        <v>Complete</v>
      </c>
      <c r="E502">
        <v>45404</v>
      </c>
      <c r="F502" t="str">
        <v>Roof-mounted Solar PV System: 8 Panels @ 405 W/Panel; 19.9 sq ft/Panel; Total sq ft 159.2; Total System Capacity 3.24 ; Total Annual Output 4,698 h</v>
      </c>
      <c r="G502">
        <v>3.24</v>
      </c>
      <c r="H502" t="str">
        <v>Residential</v>
      </c>
      <c r="I502">
        <v>45376</v>
      </c>
      <c r="J502">
        <v>45477</v>
      </c>
      <c r="K502" t="str">
        <v>Sandys</v>
      </c>
      <c r="L502">
        <v>47231</v>
      </c>
      <c r="M502">
        <v>45463</v>
      </c>
      <c r="N502" t="str">
        <v/>
      </c>
      <c r="O502" t="str">
        <v>Yes</v>
      </c>
      <c r="P502">
        <v>32.292965</v>
      </c>
      <c r="Q502">
        <v>-64.873206</v>
      </c>
    </row>
    <row r="503" xml:space="preserve">
      <c r="A503" t="str">
        <v>B0092-24</v>
      </c>
      <c r="B503" t="str" xml:space="preserve">
        <v xml:space="preserve">9 Cedarberry Drive_x000d__x000d_
Hamilton, BM CR04</v>
      </c>
      <c r="C503" t="str">
        <v>Permitted Development</v>
      </c>
      <c r="D503" t="str">
        <v>Complete</v>
      </c>
      <c r="E503">
        <v>45404</v>
      </c>
      <c r="F503" t="str">
        <v>Roof Mounted Solar PV System - 468 sq ft, 20x370W Modules, System Capacity: 7.4 *Revision 1: add 1 solar PV modules; 1x370W modules; System Capacity: 7.77; Total 412sqft</v>
      </c>
      <c r="G503">
        <v>7.77</v>
      </c>
      <c r="H503" t="str">
        <v>Residential</v>
      </c>
      <c r="I503">
        <v>45365</v>
      </c>
      <c r="J503">
        <v>45540</v>
      </c>
      <c r="K503" t="str">
        <v>Hamilton</v>
      </c>
      <c r="L503">
        <v>47231</v>
      </c>
      <c r="M503">
        <v>45519</v>
      </c>
      <c r="N503" t="str">
        <v/>
      </c>
      <c r="O503" t="str">
        <v>Yes</v>
      </c>
      <c r="P503">
        <v>32.3408198</v>
      </c>
      <c r="Q503">
        <v>-64.7092143</v>
      </c>
    </row>
    <row r="504" xml:space="preserve">
      <c r="A504" t="str">
        <v>B0135-24</v>
      </c>
      <c r="B504" t="str" xml:space="preserve">
        <v xml:space="preserve">7 Hastings Road_x000d__x000d_
Pembroke, BM HM05</v>
      </c>
      <c r="C504" t="str">
        <v>Permitted Development</v>
      </c>
      <c r="D504" t="str">
        <v>Complete</v>
      </c>
      <c r="E504">
        <v>45408</v>
      </c>
      <c r="F504" t="str">
        <v>Solar PV System: 26 Panels @ 405 W/Panel; 19.9 sq ft/Panel; Total sq ft 517.4; Total System Capacity 10.5 ; Total Annual Output 15,268 h | 2 Tesla Powerwall @ 13.5 / Powerwall; Total System Capacity 27 ; 4.48 sq ft/ Powerwall; Total sq ft 8.96 *Revision 1: Panel size &amp; wattage change, removed 1 panel: Solar PV System: 25 Panels @ 420 W/Panel; 20.8 sq ft/Panel; Total sq ft 520; Total System Capacity 10.5 ; Total Annual Output 15,225 h | 2 Tesla Powerwall @ 13.5 / Powerwall; Total System Capacity 27 ; 4.48 sq ft/ Powerwall; Total sq ft 8.96 *Revision 2: Solar PV System panel placement has changed</v>
      </c>
      <c r="G504">
        <v>10.5</v>
      </c>
      <c r="H504" t="str">
        <v>Residential</v>
      </c>
      <c r="I504">
        <v>45392</v>
      </c>
      <c r="J504">
        <v>45541</v>
      </c>
      <c r="K504" t="str">
        <v>Pembroke</v>
      </c>
      <c r="L504">
        <v>47234</v>
      </c>
      <c r="M504">
        <v>45511</v>
      </c>
      <c r="N504" t="str">
        <v/>
      </c>
      <c r="O504" t="str">
        <v>Yes</v>
      </c>
      <c r="P504">
        <v>32.2929406</v>
      </c>
      <c r="Q504">
        <v>-64.8014382</v>
      </c>
    </row>
    <row r="505" xml:space="preserve">
      <c r="A505" t="str">
        <v>B0143-24</v>
      </c>
      <c r="B505" t="str" xml:space="preserve">
        <v xml:space="preserve">34 South Road_x000d__x000d_
Southampton, BM SN01</v>
      </c>
      <c r="C505" t="str">
        <v>Permitted Development</v>
      </c>
      <c r="D505" t="str">
        <v>Complete</v>
      </c>
      <c r="E505">
        <v>45413</v>
      </c>
      <c r="F505" t="str">
        <v>Solar PV System: 23 Panels @ 420 w/Panel; 20.8 sq ft/Panel; Total sq ft 478.4; Total System Capacity 9.6 ; Total Annual Output 14,007  | Tesla Powerwall: 2 Tesla Powerwall @ 13.5  / Powerwall; Total System Capacity 27 ; 4.46 sq ft/ Powerwall; Total sq ft 8.92 *Revision 1: Solar PV system panel placement has changed *Revision 2: Number of panels &amp; system size has changed 29 Panels @ 420 w/Panel; 20.8 sq ft/Panel; Total sq ft 603.2; Total System Capacity 12.18 ; Total Annual Output 17,661  | Tesla Powerwall: 2 Tesla Powerwall @ 13.5  / Powerwall; Total System Capacity 27 ; 4.46 sq ft/ Powerwall; Total sq ft 8.92</v>
      </c>
      <c r="G505">
        <v>12.18</v>
      </c>
      <c r="H505" t="str">
        <v>Residential</v>
      </c>
      <c r="I505">
        <v>45400</v>
      </c>
      <c r="J505">
        <v>45616</v>
      </c>
      <c r="K505" t="str">
        <v>Southampton</v>
      </c>
      <c r="L505">
        <v>47239</v>
      </c>
      <c r="M505">
        <v>45615</v>
      </c>
      <c r="N505" t="str">
        <v/>
      </c>
      <c r="O505" t="str">
        <v>Yes</v>
      </c>
      <c r="P505">
        <v>32.250391</v>
      </c>
      <c r="Q505">
        <v>-64.85057</v>
      </c>
    </row>
    <row r="506" xml:space="preserve">
      <c r="A506" t="str">
        <v>B0136-24</v>
      </c>
      <c r="B506" t="str" xml:space="preserve">
        <v xml:space="preserve">2 Twin Lane Place_x000d__x000d_
Pembroke, BM HM09</v>
      </c>
      <c r="C506" t="str">
        <v>Permitted Development</v>
      </c>
      <c r="D506" t="str">
        <v>Issued</v>
      </c>
      <c r="E506">
        <v>45414</v>
      </c>
      <c r="F506" t="str">
        <v>Roof Mounted Solar PV System: 16 Panels @ 405 W/Panel; 19.9 sq ft/Panel; Total sq ft 318.4; Total System Capacity 6.48 ; Total Annual Output 9,396 h | Tesla Powerwall: 1 Tesla Powerwall @ 13.5 / Powerwall; Total System Capacity 13.5 ; 4.46 sq ft/ Powerwall; Total sq ft 4.46</v>
      </c>
      <c r="G506">
        <v>6.48</v>
      </c>
      <c r="H506" t="str">
        <v>Residential</v>
      </c>
      <c r="I506">
        <v>45393</v>
      </c>
      <c r="J506">
        <v>45499</v>
      </c>
      <c r="K506" t="str">
        <v>Pembroke</v>
      </c>
      <c r="L506">
        <v>47240</v>
      </c>
      <c r="M506">
        <v>45497</v>
      </c>
      <c r="N506" t="str">
        <v/>
      </c>
      <c r="O506" t="str">
        <v>Yes</v>
      </c>
      <c r="P506">
        <v>32.302755</v>
      </c>
      <c r="Q506">
        <v>-64.791491</v>
      </c>
    </row>
    <row r="507" xml:space="preserve">
      <c r="A507" t="str">
        <v>B0154-24</v>
      </c>
      <c r="B507" t="str" xml:space="preserve">
        <v xml:space="preserve">13A Middle Road_x000d__x000d_
Warwick, BM WK04</v>
      </c>
      <c r="C507" t="str">
        <v>Permitted Development</v>
      </c>
      <c r="D507" t="str">
        <v>Complete</v>
      </c>
      <c r="E507">
        <v>45433</v>
      </c>
      <c r="F507" t="str">
        <v>Proposed Roof-Mounted Solar PV System: 14 Panels @ 420 W/Panel; 20.8 sq ft/Panel; Total sq ft 291.2; Total System Capacity 5.6 ; Total Annual Output 8,526 h</v>
      </c>
      <c r="G507">
        <v>5.6</v>
      </c>
      <c r="H507" t="str">
        <v>Residential</v>
      </c>
      <c r="I507">
        <v>45413</v>
      </c>
      <c r="J507">
        <v>45552</v>
      </c>
      <c r="K507" t="str">
        <v>Warwick</v>
      </c>
      <c r="L507">
        <v>47259</v>
      </c>
      <c r="M507">
        <v>45527</v>
      </c>
      <c r="N507" t="str">
        <v/>
      </c>
      <c r="O507" t="str">
        <v>Yes</v>
      </c>
      <c r="P507">
        <v>32.263759</v>
      </c>
      <c r="Q507">
        <v>-64.817458</v>
      </c>
    </row>
    <row r="508" xml:space="preserve">
      <c r="A508" t="str">
        <v>B0132-24</v>
      </c>
      <c r="B508" t="str" xml:space="preserve">
        <v xml:space="preserve">13 Belmont Road_x000d__x000d_
Warwick, BM WK06</v>
      </c>
      <c r="C508" t="str">
        <v>Permitted Development</v>
      </c>
      <c r="D508" t="str">
        <v>Issued</v>
      </c>
      <c r="E508">
        <v>45433</v>
      </c>
      <c r="F508" t="str" xml:space="preserve">
        <v xml:space="preserve">Addition of Roof Top PV Solar to Existing. _x000d__x000d_
Existing Solar: 9.62, 26 Modules, 510.9 sf, 370w ea. 14,360 h/ Annum._x000d__x000d_
Additions: 4 Modules, 370w ea. 1.48 total. 19.65sf ea. 75.27sf total. Estimated Annual Yield, 2,220h. _x000d__x000d_
New System Totals: 30 Modules, 11.1, 586.17sf, Estimated Annual Yield: 16,580h, 2 10h Battery, 1 Backup Interface_x000d__x000d_
*Revision 1: Additional 6 panels @ 370W/panel; Total Area 112.92 sq ft; Total DC output 2.22 ; Annual Output 3.0h; Total AC Output 2.22 _x000d__x000d_
System Total 36 panels @ 370W/panel; Total Area 828.08 sq ft; Total DC output 13.32 ; Annual_x000d__x000d_
Output19,610 h; Total AC Output 10 _x000d__x000d_
2 10h Battery, 1 Backup Interface</v>
      </c>
      <c r="G508">
        <v>10</v>
      </c>
      <c r="H508" t="str">
        <v>Residential</v>
      </c>
      <c r="I508">
        <v>45390</v>
      </c>
      <c r="J508" t="str">
        <v/>
      </c>
      <c r="K508" t="str">
        <v>Warwick</v>
      </c>
      <c r="L508">
        <v>47259</v>
      </c>
      <c r="M508">
        <v>46168</v>
      </c>
      <c r="N508" t="str">
        <v/>
      </c>
      <c r="O508" t="str">
        <v>Yes</v>
      </c>
      <c r="P508">
        <v>32.274768</v>
      </c>
      <c r="Q508">
        <v>-64.801626</v>
      </c>
    </row>
    <row r="509" xml:space="preserve">
      <c r="A509" t="str">
        <v>B0152-24</v>
      </c>
      <c r="B509" t="str" xml:space="preserve">
        <v xml:space="preserve">1 Church Road_x000d__x000d_
Southampton, BM SN01</v>
      </c>
      <c r="C509" t="str">
        <v>Permitted Development</v>
      </c>
      <c r="D509" t="str">
        <v>Issued</v>
      </c>
      <c r="E509">
        <v>45439</v>
      </c>
      <c r="F509" t="str">
        <v>Roof Mounted Solar PV System - 451 sq ft 23x370W Modules, System Capacity: 8.51</v>
      </c>
      <c r="G509">
        <v>8.51</v>
      </c>
      <c r="H509" t="str">
        <v>Residential</v>
      </c>
      <c r="I509">
        <v>45412</v>
      </c>
      <c r="J509">
        <v>45499</v>
      </c>
      <c r="K509" t="str">
        <v>Southampton</v>
      </c>
      <c r="L509">
        <v>47266</v>
      </c>
      <c r="M509">
        <v>45477</v>
      </c>
      <c r="N509" t="str">
        <v/>
      </c>
      <c r="O509" t="str">
        <v>Yes</v>
      </c>
      <c r="P509">
        <v>32.2535042</v>
      </c>
      <c r="Q509">
        <v>-64.846445</v>
      </c>
    </row>
    <row r="510" xml:space="preserve">
      <c r="A510" t="str">
        <v>B0184-24</v>
      </c>
      <c r="B510" t="str" xml:space="preserve">
        <v xml:space="preserve">10 Arlington Drive_x000d__x000d_
Smiths, BM FL02</v>
      </c>
      <c r="C510" t="str">
        <v>Permitted Development</v>
      </c>
      <c r="D510" t="str">
        <v>Issued</v>
      </c>
      <c r="E510">
        <v>45439</v>
      </c>
      <c r="F510" t="str">
        <v>Roof Mounted Solar PV System - 275 sq ft, 14x370W Modules, System Capacity: 5.18, Existing Solar System Details - 331sqft, 17x360W Modules, System Capacity: 6.12, Total System Capacity: 11.3</v>
      </c>
      <c r="G510">
        <v>11.3</v>
      </c>
      <c r="H510" t="str">
        <v>Residential</v>
      </c>
      <c r="I510">
        <v>45434</v>
      </c>
      <c r="J510">
        <v>45496</v>
      </c>
      <c r="K510" t="str">
        <v>Smiths</v>
      </c>
      <c r="L510">
        <v>47266</v>
      </c>
      <c r="M510">
        <v>45475</v>
      </c>
      <c r="N510" t="str">
        <v/>
      </c>
      <c r="O510" t="str">
        <v>Yes</v>
      </c>
      <c r="P510">
        <v>32.314425</v>
      </c>
      <c r="Q510">
        <v>-64.742002</v>
      </c>
    </row>
    <row r="511" xml:space="preserve">
      <c r="A511" t="str">
        <v>B0182-24</v>
      </c>
      <c r="B511" t="str" xml:space="preserve">
        <v xml:space="preserve">52 Jennings Road_x000d__x000d_
Smiths, BM FL03</v>
      </c>
      <c r="C511" t="str">
        <v>Permitted Development</v>
      </c>
      <c r="D511" t="str">
        <v>Complete</v>
      </c>
      <c r="E511">
        <v>45442</v>
      </c>
      <c r="F511" t="str">
        <v>Roof Mounted Solar PV System - 235 sq ft, 12x370W Modules, System Capacity: 4.44</v>
      </c>
      <c r="G511">
        <v>4.44</v>
      </c>
      <c r="H511" t="str">
        <v>Residential</v>
      </c>
      <c r="I511">
        <v>45434</v>
      </c>
      <c r="J511">
        <v>45519</v>
      </c>
      <c r="K511" t="str">
        <v>Smiths</v>
      </c>
      <c r="L511">
        <v>47268</v>
      </c>
      <c r="M511">
        <v>45513</v>
      </c>
      <c r="N511" t="str">
        <v/>
      </c>
      <c r="O511" t="str">
        <v>Yes</v>
      </c>
      <c r="P511">
        <v>32.3183028</v>
      </c>
      <c r="Q511">
        <v>-64.7387109</v>
      </c>
    </row>
    <row r="512" xml:space="preserve">
      <c r="A512" t="str">
        <v>B0179-24</v>
      </c>
      <c r="B512" t="str" xml:space="preserve">
        <v xml:space="preserve">6 Pokiok Road_x000d__x000d_
Smiths, BM FL05</v>
      </c>
      <c r="C512" t="str">
        <v>Permitted Development</v>
      </c>
      <c r="D512" t="str">
        <v>Complete</v>
      </c>
      <c r="E512">
        <v>45445</v>
      </c>
      <c r="F512" t="str">
        <v>Roof Mounted Solar PV System - 314 sq ft, 16x370W Modules, System Capacity: 5.92</v>
      </c>
      <c r="G512">
        <v>5.92</v>
      </c>
      <c r="H512" t="str">
        <v>Residential</v>
      </c>
      <c r="I512">
        <v>45433</v>
      </c>
      <c r="J512">
        <v>45519</v>
      </c>
      <c r="K512" t="str">
        <v>Smiths</v>
      </c>
      <c r="L512">
        <v>47273</v>
      </c>
      <c r="M512">
        <v>45495</v>
      </c>
      <c r="N512" t="str">
        <v/>
      </c>
      <c r="O512" t="str">
        <v>Yes</v>
      </c>
      <c r="P512">
        <v>32.3092928</v>
      </c>
      <c r="Q512">
        <v>-64.7335728</v>
      </c>
    </row>
    <row r="513" xml:space="preserve">
      <c r="A513" t="str">
        <v>B0181-24</v>
      </c>
      <c r="B513" t="str" xml:space="preserve">
        <v xml:space="preserve">9 Happy Talk Drive_x000d__x000d_
Paget, BM DV04</v>
      </c>
      <c r="C513" t="str">
        <v>Permitted Development</v>
      </c>
      <c r="D513" t="str">
        <v>Complete</v>
      </c>
      <c r="E513">
        <v>45445</v>
      </c>
      <c r="F513" t="str">
        <v>Roof Mounted Solar PV System - 118 sq ft, 6x370WW Modules, System Capacity: 2.22, Existing Solar System Details - 761sqft, System Capacity: 13.96, Total System Capacity: 15.91, Total area: 879sqft *Revision 1: addition of 10h wall mounted battery</v>
      </c>
      <c r="G513">
        <v>15.91</v>
      </c>
      <c r="H513" t="str">
        <v>Residential</v>
      </c>
      <c r="I513">
        <v>45434</v>
      </c>
      <c r="J513">
        <v>45859</v>
      </c>
      <c r="K513" t="str">
        <v>Paget</v>
      </c>
      <c r="L513">
        <v>47273</v>
      </c>
      <c r="M513">
        <v>45833</v>
      </c>
      <c r="N513" t="str">
        <v/>
      </c>
      <c r="O513" t="str">
        <v>Yes</v>
      </c>
      <c r="P513">
        <v>32.2925521</v>
      </c>
      <c r="Q513">
        <v>-64.7578132</v>
      </c>
    </row>
    <row r="514" xml:space="preserve">
      <c r="A514" t="str">
        <v>B0191-24</v>
      </c>
      <c r="B514" t="str" xml:space="preserve">
        <v xml:space="preserve">8 Emily's Bay Lane_x000d__x000d_
St. George's, BM DD01</v>
      </c>
      <c r="C514" t="str">
        <v>Permitted Development</v>
      </c>
      <c r="D514" t="str">
        <v>Complete</v>
      </c>
      <c r="E514">
        <v>45453</v>
      </c>
      <c r="F514" t="str">
        <v>Roof Top Solar, 12 - 395W PV Modules, (4.74 ), Annual Production 7,251 h, Total Area 5266 Square Feet.</v>
      </c>
      <c r="G514">
        <v>4.74</v>
      </c>
      <c r="H514" t="str">
        <v>Residential</v>
      </c>
      <c r="I514">
        <v>45442</v>
      </c>
      <c r="J514">
        <v>45665</v>
      </c>
      <c r="K514" t="str">
        <v>St. George</v>
      </c>
      <c r="L514">
        <v>47280</v>
      </c>
      <c r="M514">
        <v>45646</v>
      </c>
      <c r="N514" t="str">
        <v/>
      </c>
      <c r="O514" t="str">
        <v>Yes</v>
      </c>
      <c r="P514">
        <v>32.3690754</v>
      </c>
      <c r="Q514">
        <v>-64.6721298</v>
      </c>
    </row>
    <row r="515" xml:space="preserve">
      <c r="A515" t="str">
        <v>B0206-24</v>
      </c>
      <c r="B515" t="str" xml:space="preserve">
        <v xml:space="preserve">25 Between The Walls_x000d__x000d_
Pembroke, BM HM06</v>
      </c>
      <c r="C515" t="str">
        <v>Permitted Development</v>
      </c>
      <c r="D515" t="str">
        <v>Complete</v>
      </c>
      <c r="E515">
        <v>45462</v>
      </c>
      <c r="F515" t="str">
        <v>Proposed Roof Mounted Solar PV System: 43 Panels @ 420W/Panel, 20.8 sq ft/Panel, Total sq. ft. 894.4, Total System Capacity 18 , Total Annual Output 26,187 . *Revision 1: Panel placement has changed</v>
      </c>
      <c r="G515">
        <v>18</v>
      </c>
      <c r="H515" t="str">
        <v>Residential</v>
      </c>
      <c r="I515">
        <v>45453</v>
      </c>
      <c r="J515">
        <v>45567</v>
      </c>
      <c r="K515" t="str">
        <v>Pembroke</v>
      </c>
      <c r="L515">
        <v>47288</v>
      </c>
      <c r="M515">
        <v>45558</v>
      </c>
      <c r="N515" t="str">
        <v/>
      </c>
      <c r="O515" t="str">
        <v>Yes</v>
      </c>
      <c r="P515">
        <v>32.295816</v>
      </c>
      <c r="Q515">
        <v>-64.794069</v>
      </c>
    </row>
    <row r="516" xml:space="preserve">
      <c r="A516" t="str">
        <v>B0197-24</v>
      </c>
      <c r="B516" t="str" xml:space="preserve">
        <v xml:space="preserve">12A Southcote Road_x000d__x000d_
Paget, PG04, Bermuda</v>
      </c>
      <c r="C516" t="str">
        <v>Permitted Development</v>
      </c>
      <c r="D516" t="str">
        <v>Complete</v>
      </c>
      <c r="E516">
        <v>45464</v>
      </c>
      <c r="F516" t="str" xml:space="preserve">
        <v xml:space="preserve">Roof-Mounted Solar PV System: 13 Panels @ 420 W/Panel; 20.8 sq ft/Panel; Total sq ft 270.4; Total System Capacity 5.46 ; Total Annual Output 7,917 h_x000d_
Please see existing open permit P0314-23 for building plans *Revision 1: Roof-Mounted Solar PV System: 12 Panels @ 420 W/Panel; 20.8 sq ft/Panel; Total sq ft 249.6; Total System Capacity 5.04 ; Total Annual Output 7,308 h_x000d_
_x000d_
*Removed 1 panel - system size and panel location have changed</v>
      </c>
      <c r="G516">
        <v>5.04</v>
      </c>
      <c r="H516" t="str">
        <v>Residential</v>
      </c>
      <c r="I516">
        <v>45448</v>
      </c>
      <c r="J516">
        <v>45719</v>
      </c>
      <c r="K516" t="str">
        <v>Paget</v>
      </c>
      <c r="L516">
        <v>47290</v>
      </c>
      <c r="M516">
        <v>45693</v>
      </c>
      <c r="N516" t="str">
        <v/>
      </c>
      <c r="O516" t="str">
        <v>Yes</v>
      </c>
      <c r="P516">
        <v>32.2767911</v>
      </c>
      <c r="Q516">
        <v>-64.7806402</v>
      </c>
    </row>
    <row r="517" xml:space="preserve">
      <c r="A517" t="str">
        <v>B0217-24</v>
      </c>
      <c r="B517" t="str" xml:space="preserve">
        <v xml:space="preserve">9 Keith Hall Road_x000d__x000d_
Warwick, BM PG01</v>
      </c>
      <c r="C517" t="str">
        <v>Permitted Development</v>
      </c>
      <c r="D517" t="str">
        <v>Complete</v>
      </c>
      <c r="E517">
        <v>45464</v>
      </c>
      <c r="F517" t="str">
        <v>Roof Mounted Solar PV System - 137 sq ft, 7x370W Modules, System Capacity: 2.59, Wall Mounted Battery System - 5h</v>
      </c>
      <c r="G517">
        <v>2.59</v>
      </c>
      <c r="H517" t="str">
        <v>Residential</v>
      </c>
      <c r="I517">
        <v>45461</v>
      </c>
      <c r="J517">
        <v>45540</v>
      </c>
      <c r="K517" t="str">
        <v>Warwick</v>
      </c>
      <c r="L517">
        <v>47290</v>
      </c>
      <c r="M517">
        <v>45517</v>
      </c>
      <c r="N517" t="str">
        <v/>
      </c>
      <c r="O517" t="str">
        <v>Yes</v>
      </c>
      <c r="P517">
        <v>32.276808</v>
      </c>
      <c r="Q517">
        <v>-64.798074</v>
      </c>
    </row>
    <row r="518" xml:space="preserve">
      <c r="A518" t="str">
        <v>B0200-24</v>
      </c>
      <c r="B518" t="str" xml:space="preserve">
        <v xml:space="preserve">10 Mizzentop_x000d__x000d_
Warwick, BM WK06</v>
      </c>
      <c r="C518" t="str">
        <v>Permitted Development</v>
      </c>
      <c r="D518" t="str">
        <v>Complete</v>
      </c>
      <c r="E518">
        <v>45469</v>
      </c>
      <c r="F518" t="str">
        <v>Unit 1 - Roof Mounted Solar PV System - 157sqft,  8x370W Modules, System Capacity: 2.96,  Wall Mounted Battery System - 10h. *Revision 1: add 2 roof mounted solar panels - 39.25sqft; Total: 10x370W modules, Total DC Capacity: 3.7; Total AC Capacity: 2.9; Total sqft: 196.25sqft</v>
      </c>
      <c r="G518">
        <v>2.96</v>
      </c>
      <c r="H518" t="str">
        <v>Residential</v>
      </c>
      <c r="I518">
        <v>45449</v>
      </c>
      <c r="J518">
        <v>45643</v>
      </c>
      <c r="K518" t="str">
        <v>Warwick</v>
      </c>
      <c r="L518">
        <v>47295</v>
      </c>
      <c r="M518">
        <v>45631</v>
      </c>
      <c r="N518" t="str">
        <v/>
      </c>
      <c r="O518" t="str">
        <v>Yes</v>
      </c>
      <c r="P518">
        <v>32.273333</v>
      </c>
      <c r="Q518">
        <v>-64.806729</v>
      </c>
    </row>
    <row r="519" xml:space="preserve">
      <c r="A519" t="str">
        <v>B0198-24</v>
      </c>
      <c r="B519" t="str" xml:space="preserve">
        <v xml:space="preserve">7A Wreck Road_x000d__x000d_
Sandys, BM SB01</v>
      </c>
      <c r="C519" t="str">
        <v>Permitted Development</v>
      </c>
      <c r="D519" t="str">
        <v>Complete</v>
      </c>
      <c r="E519">
        <v>45470</v>
      </c>
      <c r="F519" t="str">
        <v>Roof-Mounted Solar PV System: 20 Panels @ 420 W/Panel; 20.8 sq ft/Panel; Total sq ft 416; Total System Capacity 8.4 ; Total Annual Output 12,180 h</v>
      </c>
      <c r="G519">
        <v>8.4</v>
      </c>
      <c r="H519" t="str">
        <v>Residential</v>
      </c>
      <c r="I519">
        <v>45448</v>
      </c>
      <c r="J519">
        <v>45573</v>
      </c>
      <c r="K519" t="str">
        <v>Sandys</v>
      </c>
      <c r="L519">
        <v>47296</v>
      </c>
      <c r="M519">
        <v>45534</v>
      </c>
      <c r="N519" t="str">
        <v/>
      </c>
      <c r="O519" t="str">
        <v>Yes</v>
      </c>
      <c r="P519">
        <v>32.275318</v>
      </c>
      <c r="Q519">
        <v>-64.878373</v>
      </c>
    </row>
    <row r="520" xml:space="preserve">
      <c r="A520" t="str">
        <v>BC0040-24</v>
      </c>
      <c r="B520" t="str" xml:space="preserve">
        <v xml:space="preserve">56 South Road_x000d__x000d_
Southampton, BM SN02</v>
      </c>
      <c r="C520" t="str">
        <v>Building - Commercial</v>
      </c>
      <c r="D520" t="str">
        <v>Issued</v>
      </c>
      <c r="E520">
        <v>45478</v>
      </c>
      <c r="F520" t="str">
        <v>Proposed Roof Mounted Solar Panels. 190 Panels, 3914 Sq. Ft. Total. 78.85 Total. (415W, 20.6 Sq. Ft. Per Panel)</v>
      </c>
      <c r="G520">
        <v>78.85</v>
      </c>
      <c r="H520" t="str">
        <v>Building Commercial</v>
      </c>
      <c r="I520">
        <v>45373</v>
      </c>
      <c r="J520" t="str">
        <v/>
      </c>
      <c r="K520" t="str">
        <v>Southampton</v>
      </c>
      <c r="L520">
        <v>47304</v>
      </c>
      <c r="M520">
        <v>45915</v>
      </c>
      <c r="N520" t="str">
        <v/>
      </c>
      <c r="O520" t="str">
        <v>Yes</v>
      </c>
      <c r="P520">
        <v>32.2485197</v>
      </c>
      <c r="Q520">
        <v>-64.8392014</v>
      </c>
    </row>
    <row r="521" xml:space="preserve">
      <c r="A521" t="str">
        <v>B0508-23</v>
      </c>
      <c r="B521" t="str" xml:space="preserve">
        <v xml:space="preserve">12 Williams Estate_x000d__x000d_
Smiths, BM FL05</v>
      </c>
      <c r="C521" t="str">
        <v>Permitted Development</v>
      </c>
      <c r="D521" t="str">
        <v>Issued</v>
      </c>
      <c r="E521">
        <v>45481</v>
      </c>
      <c r="F521" t="str">
        <v>Proposed Roof Mounted Solar Panels. 33 Total. 680 sq. ft. Total. 13.695 h Total. (415w Per Panel, 20.6 sq. ft. Per Panel)</v>
      </c>
      <c r="G521">
        <v>13.695</v>
      </c>
      <c r="H521" t="str">
        <v>Residential</v>
      </c>
      <c r="I521">
        <v>45281</v>
      </c>
      <c r="J521" t="str">
        <v/>
      </c>
      <c r="K521" t="str">
        <v>Smiths</v>
      </c>
      <c r="L521">
        <v>47308</v>
      </c>
      <c r="M521">
        <v>45540</v>
      </c>
      <c r="N521" t="str">
        <v/>
      </c>
      <c r="O521" t="str">
        <v>Yes</v>
      </c>
      <c r="P521">
        <v>32.248964</v>
      </c>
      <c r="Q521">
        <v>-64.839529</v>
      </c>
    </row>
    <row r="522" xml:space="preserve">
      <c r="A522" t="str">
        <v>B0243-24</v>
      </c>
      <c r="B522" t="str" xml:space="preserve">
        <v xml:space="preserve">15 Coopers Hill_x000d__x000d_
Southampton, SN01, Bermuda</v>
      </c>
      <c r="C522" t="str">
        <v>Permitted Development</v>
      </c>
      <c r="D522" t="str">
        <v>Issue Certificate</v>
      </c>
      <c r="E522">
        <v>45484</v>
      </c>
      <c r="F522" t="str">
        <v>Roof Mounted Solar PV System - 275sqft, 14x370W Modules, System Capacity: 5.18</v>
      </c>
      <c r="G522">
        <v>5.18</v>
      </c>
      <c r="H522" t="str">
        <v>Residential</v>
      </c>
      <c r="I522">
        <v>45478</v>
      </c>
      <c r="J522" t="str">
        <v/>
      </c>
      <c r="K522" t="str">
        <v>Southampton</v>
      </c>
      <c r="L522">
        <v>47310</v>
      </c>
      <c r="M522">
        <v>45597</v>
      </c>
      <c r="N522" t="str">
        <v/>
      </c>
      <c r="O522" t="str">
        <v>Yes</v>
      </c>
      <c r="P522">
        <v>32.306196</v>
      </c>
      <c r="Q522">
        <v>-64.735474</v>
      </c>
    </row>
    <row r="523" xml:space="preserve">
      <c r="A523" t="str">
        <v>B0236-24</v>
      </c>
      <c r="B523" t="str" xml:space="preserve">
        <v xml:space="preserve">11 Herons Nest Drive_x000d__x000d_
Southampton, BM SN04</v>
      </c>
      <c r="C523" t="str">
        <v>Permitted Development</v>
      </c>
      <c r="D523" t="str">
        <v>Complete</v>
      </c>
      <c r="E523">
        <v>45484</v>
      </c>
      <c r="F523" t="str">
        <v>Additional Roof Mounted Solar PV System - 137sqft, 7x370W Modules, System Capacity: 2.59, Wall Mounted Battery System -10h, Total PV System Capacity: 8.19, Total Battery Capacity: 10h</v>
      </c>
      <c r="G523">
        <v>8.19</v>
      </c>
      <c r="H523" t="str">
        <v>Residential</v>
      </c>
      <c r="I523">
        <v>45475</v>
      </c>
      <c r="J523">
        <v>45586</v>
      </c>
      <c r="K523" t="str">
        <v>Southampton</v>
      </c>
      <c r="L523">
        <v>47310</v>
      </c>
      <c r="M523">
        <v>45555</v>
      </c>
      <c r="N523" t="str">
        <v/>
      </c>
      <c r="O523" t="str">
        <v>Yes</v>
      </c>
      <c r="P523">
        <v>32.2605307</v>
      </c>
      <c r="Q523">
        <v>-64.8250678</v>
      </c>
    </row>
    <row r="524" xml:space="preserve">
      <c r="A524" t="str">
        <v>B0237-24</v>
      </c>
      <c r="B524" t="str" xml:space="preserve">
        <v xml:space="preserve">4 Clouds Avenue_x000d__x000d_
Warwick, BM WK02</v>
      </c>
      <c r="C524" t="str">
        <v>Permitted Development</v>
      </c>
      <c r="D524" t="str">
        <v>Complete</v>
      </c>
      <c r="E524">
        <v>45484</v>
      </c>
      <c r="F524" t="str">
        <v>Roof Mounted Solar PV System - 275sqft, 14x370W Modules, System Capacity: 5.18, Wall Mounted Battery System - 10h</v>
      </c>
      <c r="G524">
        <v>5.18</v>
      </c>
      <c r="H524" t="str">
        <v>Residential</v>
      </c>
      <c r="I524">
        <v>45475</v>
      </c>
      <c r="J524">
        <v>45586</v>
      </c>
      <c r="K524" t="str">
        <v>Warwick</v>
      </c>
      <c r="L524">
        <v>47310</v>
      </c>
      <c r="M524">
        <v>45555</v>
      </c>
      <c r="N524" t="str">
        <v/>
      </c>
      <c r="O524" t="str">
        <v>Yes</v>
      </c>
      <c r="P524">
        <v>32.2577787</v>
      </c>
      <c r="Q524">
        <v>-64.8131251</v>
      </c>
    </row>
    <row r="525" xml:space="preserve">
      <c r="A525" t="str">
        <v>B0242-24</v>
      </c>
      <c r="B525" t="str" xml:space="preserve">
        <v xml:space="preserve">12 Tanglewood Road_x000d__x000d_
Paget, BM PG03</v>
      </c>
      <c r="C525" t="str">
        <v>Permitted Development</v>
      </c>
      <c r="D525" t="str">
        <v>Complete</v>
      </c>
      <c r="E525">
        <v>45484</v>
      </c>
      <c r="F525" t="str">
        <v>Roof Mounted Solar PV System - 196sqft, 10x370W Modules, System Capacity: 3.7</v>
      </c>
      <c r="G525">
        <v>3.7</v>
      </c>
      <c r="H525" t="str">
        <v>Residential</v>
      </c>
      <c r="I525">
        <v>45478</v>
      </c>
      <c r="J525">
        <v>45559</v>
      </c>
      <c r="K525" t="str">
        <v>Paget</v>
      </c>
      <c r="L525">
        <v>47310</v>
      </c>
      <c r="M525">
        <v>45555</v>
      </c>
      <c r="N525" t="str">
        <v/>
      </c>
      <c r="O525" t="str">
        <v>Yes</v>
      </c>
      <c r="P525">
        <v>32.2793449</v>
      </c>
      <c r="Q525">
        <v>-64.7890794</v>
      </c>
    </row>
    <row r="526" xml:space="preserve">
      <c r="A526" t="str">
        <v>B0239-24</v>
      </c>
      <c r="B526" t="str" xml:space="preserve">
        <v xml:space="preserve">7 Tulo Lane_x000d__x000d_
Pembroke, BM HM02</v>
      </c>
      <c r="C526" t="str">
        <v>Permitted Development</v>
      </c>
      <c r="D526" t="str">
        <v>Complete</v>
      </c>
      <c r="E526">
        <v>45490</v>
      </c>
      <c r="F526" t="str">
        <v>Roof-Mounted Solar PV System: 22 Panels @ 420 W/Panel; 20.8 sq ft/Panel; Total sq ft 457.6; Total System Capacity 9.24 ; Total Annual Output 13,398 h *Revision 1: Only change is to add a Tesla Powerwall 2 Battery; Roof-Mounted Solar PV System: 22 Panels @ 420 W/Panel; 20.8 sq ft/Panel; Total sq ft 457.6; Total System Capacity 9.24 ; Total Annual Output 13,398 h | 1 Tesla Powerwall @ 13.5 / Powerwall; Total System Capacity 13.5 ; 4.48 sq ft/ Powerwall; Total sq ft 4.48</v>
      </c>
      <c r="G526">
        <v>9.24</v>
      </c>
      <c r="H526" t="str">
        <v>Residential</v>
      </c>
      <c r="I526">
        <v>45476</v>
      </c>
      <c r="J526">
        <v>45579</v>
      </c>
      <c r="K526" t="str">
        <v>Pembroke</v>
      </c>
      <c r="L526">
        <v>47316</v>
      </c>
      <c r="M526">
        <v>45560</v>
      </c>
      <c r="N526" t="str">
        <v/>
      </c>
      <c r="O526" t="str">
        <v>Yes</v>
      </c>
      <c r="P526">
        <v>32.303706</v>
      </c>
      <c r="Q526">
        <v>-64.805129</v>
      </c>
    </row>
    <row r="527" xml:space="preserve">
      <c r="A527" t="str">
        <v>B0252-24</v>
      </c>
      <c r="B527" t="str" xml:space="preserve">
        <v xml:space="preserve">12 Devondale Drive_x000d__x000d_
Devonshire, BM DV07</v>
      </c>
      <c r="C527" t="str">
        <v>Permitted Development</v>
      </c>
      <c r="D527" t="str">
        <v>Complete</v>
      </c>
      <c r="E527">
        <v>45498</v>
      </c>
      <c r="F527" t="str">
        <v>Roof-Mounted Solar PV System: 18 Panels @ 420 W/Panel; 20.8 sq ft/Panel; Total sq ft 374.4; Total System Capacity 7.56 ; Total Annual Output 10,962 h</v>
      </c>
      <c r="G527">
        <v>7.56</v>
      </c>
      <c r="H527" t="str">
        <v>Residential</v>
      </c>
      <c r="I527">
        <v>45482</v>
      </c>
      <c r="J527">
        <v>45567</v>
      </c>
      <c r="K527" t="str">
        <v>Devonshire</v>
      </c>
      <c r="L527">
        <v>47324</v>
      </c>
      <c r="M527">
        <v>45559</v>
      </c>
      <c r="N527" t="str">
        <v/>
      </c>
      <c r="O527" t="str">
        <v>Yes</v>
      </c>
      <c r="P527">
        <v>32.296993</v>
      </c>
      <c r="Q527">
        <v>-64.75129</v>
      </c>
    </row>
    <row r="528" xml:space="preserve">
      <c r="A528" t="str">
        <v>B0260-24</v>
      </c>
      <c r="B528" t="str" xml:space="preserve">
        <v xml:space="preserve">28 Castile Road_x000d__x000d_
Warwick, WK04, Bermuda</v>
      </c>
      <c r="C528" t="str">
        <v>Permitted Development</v>
      </c>
      <c r="D528" t="str">
        <v>Complete</v>
      </c>
      <c r="E528">
        <v>45503</v>
      </c>
      <c r="F528" t="str" xml:space="preserve">
        <v xml:space="preserve">Roof-Mounted Solar PV System: 25 Panels @ 420 w/Panel; 20.8 sq ft/Panel; Total sq ft 520; Total System Capacity 10.5 ; Total Annual Output 15,225  | Tesla Powerwall: 2 Tesla Powerwall @ 13.5  / Powerwall; Total System Capacity 27 ; 4.46 sq ft/ Powerwall; Total sq ft 8.92 V *Revision 1: Roof-Mounted Solar PV System: 29 Panels @ 420 w/Panel; 20.8 sq ft/Panel; Total sq ft 603.2; Total System Capacity 12.18 ; Total Annual Output 17,661  System size &amp; panel location changed. Powerwall removed.  *Revision*(2) Revision 2: Roof-Mounted Solar PV System: 29 Panels @ 420 w/Panel; 20.8 sq ft/Panel; Total sq ft 603.2; Total System Capacity 12.18 ; Total Annual Output 17,661  | Tesla Powerwall: 2 Tesla Powerwall 3 @ 13.5  / Powerwall; Total System Capacity 27 ; 4.57 sq ft/ Powerwall; Total sq ft 9.14 V_x000d_
*Change is to add new battery storage</v>
      </c>
      <c r="G528">
        <v>12.8</v>
      </c>
      <c r="H528" t="str">
        <v>Residential</v>
      </c>
      <c r="I528">
        <v>45488</v>
      </c>
      <c r="J528">
        <v>46070</v>
      </c>
      <c r="K528" t="str">
        <v>Warwick</v>
      </c>
      <c r="L528">
        <v>47329</v>
      </c>
      <c r="M528">
        <v>46051</v>
      </c>
      <c r="N528" t="str">
        <v/>
      </c>
      <c r="O528" t="str">
        <v>Yes</v>
      </c>
      <c r="P528">
        <v>32.296333</v>
      </c>
      <c r="Q528">
        <v>-64.75155</v>
      </c>
    </row>
    <row r="529" xml:space="preserve">
      <c r="A529" t="str">
        <v>B0216-24</v>
      </c>
      <c r="B529" t="str" xml:space="preserve">
        <v xml:space="preserve">8 Harvey Road_x000d__x000d_
Paget, BM PG04</v>
      </c>
      <c r="C529" t="str">
        <v>Permitted Development</v>
      </c>
      <c r="D529" t="str">
        <v>Complete</v>
      </c>
      <c r="E529">
        <v>45513</v>
      </c>
      <c r="F529" t="str">
        <v>Roof Top Solar, 45 - 395W PV Modules, (17.7 ), Annual Production 26,860 h, Total Area 997 Square Feet.</v>
      </c>
      <c r="G529">
        <v>17.7</v>
      </c>
      <c r="H529" t="str">
        <v>Commercial</v>
      </c>
      <c r="I529">
        <v>45461</v>
      </c>
      <c r="J529">
        <v>45742</v>
      </c>
      <c r="K529" t="str">
        <v>Paget</v>
      </c>
      <c r="L529">
        <v>47339</v>
      </c>
      <c r="M529">
        <v>45736</v>
      </c>
      <c r="N529" t="str">
        <v/>
      </c>
      <c r="O529" t="str">
        <v>Yes</v>
      </c>
      <c r="P529">
        <v>32.27254</v>
      </c>
      <c r="Q529">
        <v>-64.786562</v>
      </c>
    </row>
    <row r="530" xml:space="preserve">
      <c r="A530" t="str">
        <v>B0277-24</v>
      </c>
      <c r="B530" t="str" xml:space="preserve">
        <v xml:space="preserve">11 Garthowen Road_x000d__x000d_
Devonshire, BM DV07</v>
      </c>
      <c r="C530" t="str">
        <v>Permitted Development</v>
      </c>
      <c r="D530" t="str">
        <v>Complete</v>
      </c>
      <c r="E530">
        <v>45517</v>
      </c>
      <c r="F530" t="str">
        <v>Proposed Roof-Mounted Solar PV System: 14 Panels @ 420 W/Panel; 20.8 sq ft/Panel; Total sq ft 291.2; Total System Capacity 5.6 ; Total Annual Output 8,526 h</v>
      </c>
      <c r="G530">
        <v>5.6</v>
      </c>
      <c r="H530" t="str">
        <v>Residential</v>
      </c>
      <c r="I530">
        <v>45504</v>
      </c>
      <c r="J530">
        <v>45701</v>
      </c>
      <c r="K530" t="str">
        <v>Devonshire</v>
      </c>
      <c r="L530">
        <v>47343</v>
      </c>
      <c r="M530">
        <v>45688</v>
      </c>
      <c r="N530" t="str">
        <v/>
      </c>
      <c r="O530" t="str">
        <v>Yes</v>
      </c>
      <c r="P530">
        <v>32.299257</v>
      </c>
      <c r="Q530">
        <v>-64.755618</v>
      </c>
    </row>
    <row r="531" xml:space="preserve">
      <c r="A531" t="str">
        <v>B0265-24</v>
      </c>
      <c r="B531" t="str" xml:space="preserve">
        <v xml:space="preserve">1 Zuill's Park Drive_x000d__x000d_
Smiths, BM FL06</v>
      </c>
      <c r="C531" t="str">
        <v>Permitted Development</v>
      </c>
      <c r="D531" t="str">
        <v>Complete</v>
      </c>
      <c r="E531">
        <v>45517</v>
      </c>
      <c r="F531" t="str" xml:space="preserve">
        <v xml:space="preserve">Addition of Roof Top PV Solar,  22 Modules, 370W ea. 8,140W Total. 19.65sf ea. 432.3sf Total. Estimated Annual Yield, 12,010h._x000d__x000d_
2 10h Battery. Adapt Existing Solar to New System. Existing Solar; 12 Module 280w ea. 3360W Total. 18sf ea. 216sf Total. Estimated Annual Yield; 4,980h</v>
      </c>
      <c r="G531">
        <v>3.36</v>
      </c>
      <c r="H531" t="str">
        <v>Residential</v>
      </c>
      <c r="I531">
        <v>45497</v>
      </c>
      <c r="J531">
        <v>45601</v>
      </c>
      <c r="K531" t="str">
        <v>Smiths</v>
      </c>
      <c r="L531">
        <v>47343</v>
      </c>
      <c r="M531">
        <v>45583</v>
      </c>
      <c r="N531" t="str">
        <v/>
      </c>
      <c r="O531" t="str">
        <v>Yes</v>
      </c>
      <c r="P531">
        <v>32.3143931</v>
      </c>
      <c r="Q531">
        <v>-64.7304415</v>
      </c>
    </row>
    <row r="532" xml:space="preserve">
      <c r="A532" t="str">
        <v>B0284-24</v>
      </c>
      <c r="B532" t="str" xml:space="preserve">
        <v xml:space="preserve">28 North Shore Road_x000d__x000d_
Smiths, BM FL03</v>
      </c>
      <c r="C532" t="str">
        <v>Permitted Development</v>
      </c>
      <c r="D532" t="str">
        <v>Complete</v>
      </c>
      <c r="E532">
        <v>45517</v>
      </c>
      <c r="F532" t="str">
        <v>PV Solar System 18 panels, 370W/panel; 19.66sqft/Panel; Total system area 354sqft; Total DC Output 6.66; Annual Output 9219h; Total AC Output 5.22</v>
      </c>
      <c r="G532">
        <v>5.22</v>
      </c>
      <c r="H532" t="str">
        <v>Residential</v>
      </c>
      <c r="I532">
        <v>45513</v>
      </c>
      <c r="J532">
        <v>45618</v>
      </c>
      <c r="K532" t="str">
        <v>Smiths</v>
      </c>
      <c r="L532">
        <v>47343</v>
      </c>
      <c r="M532">
        <v>45581</v>
      </c>
      <c r="N532" t="str">
        <v/>
      </c>
      <c r="O532" t="str">
        <v>Yes</v>
      </c>
      <c r="P532">
        <v>32.3158395</v>
      </c>
      <c r="Q532">
        <v>-64.7500276</v>
      </c>
    </row>
    <row r="533" xml:space="preserve">
      <c r="A533" t="str">
        <v>B0275-24</v>
      </c>
      <c r="B533" t="str" xml:space="preserve">
        <v xml:space="preserve">43 Old Road_x000d__x000d_
Hamilton, BM CR01</v>
      </c>
      <c r="C533" t="str">
        <v>Permitted Development</v>
      </c>
      <c r="D533" t="str">
        <v>Complete</v>
      </c>
      <c r="E533">
        <v>45517</v>
      </c>
      <c r="F533" t="str">
        <v>Roof Mounted Solar PV System - 804.42 sq ft , 41 Panels @ 370W Modules, System Capacity: 15.17, Wall Mounted Battery System: 20h</v>
      </c>
      <c r="G533">
        <v>15.17</v>
      </c>
      <c r="H533" t="str">
        <v>Residential</v>
      </c>
      <c r="I533">
        <v>45503</v>
      </c>
      <c r="J533">
        <v>45559</v>
      </c>
      <c r="K533" t="str">
        <v>Hamilton</v>
      </c>
      <c r="L533">
        <v>47343</v>
      </c>
      <c r="M533">
        <v>45555</v>
      </c>
      <c r="N533" t="str">
        <v/>
      </c>
      <c r="O533" t="str">
        <v>Yes</v>
      </c>
      <c r="P533">
        <v>32.336613</v>
      </c>
      <c r="Q533">
        <v>-64.739729</v>
      </c>
    </row>
    <row r="534" xml:space="preserve">
      <c r="A534" t="str">
        <v>B0272-24</v>
      </c>
      <c r="B534" t="str" xml:space="preserve">
        <v xml:space="preserve">8 Harbour Road_x000d__x000d_
Warwick, BM WK04</v>
      </c>
      <c r="C534" t="str">
        <v>Permitted Development</v>
      </c>
      <c r="D534" t="str">
        <v>Complete</v>
      </c>
      <c r="E534">
        <v>45519</v>
      </c>
      <c r="F534" t="str">
        <v xml:space="preserve">Roof-Mounted Solar PV System: 28 Panels @ 420 w/Panel; 20.8 sq ft/Panel; Total sq ft 582.4; Total System Capacity 11.76 ; Total Annual Output 17,052 </v>
      </c>
      <c r="G534">
        <v>11.76</v>
      </c>
      <c r="H534" t="str">
        <v>Residential</v>
      </c>
      <c r="I534">
        <v>45500</v>
      </c>
      <c r="J534">
        <v>45743</v>
      </c>
      <c r="K534" t="str">
        <v>Warwick</v>
      </c>
      <c r="L534">
        <v>47345</v>
      </c>
      <c r="M534">
        <v>45730</v>
      </c>
      <c r="N534" t="str">
        <v/>
      </c>
      <c r="O534" t="str">
        <v>Yes</v>
      </c>
      <c r="P534">
        <v>32.269312</v>
      </c>
      <c r="Q534">
        <v>-64.816535</v>
      </c>
    </row>
    <row r="535" xml:space="preserve">
      <c r="A535" t="str">
        <v>BR0157-24</v>
      </c>
      <c r="B535" t="str" xml:space="preserve">
        <v xml:space="preserve">5 Shinbone Alley_x000d__x000d_
Town of St. George, BM GE05</v>
      </c>
      <c r="C535" t="str">
        <v>Building - Residential</v>
      </c>
      <c r="D535" t="str">
        <v>Complete</v>
      </c>
      <c r="E535">
        <v>45531</v>
      </c>
      <c r="F535" t="str" xml:space="preserve">
        <v xml:space="preserve">Proposed Roof Mounted Solar PV System: 17 Panels @ 420 W/Panel; 20.8 sq ft/Panel; Total sq ft 353.6; Total System Capacity 7.1 ; Total Annual Output 10,353 h._x000d_
Note: Building only P0126-24</v>
      </c>
      <c r="G535">
        <v>7.1</v>
      </c>
      <c r="H535" t="str">
        <v>Building Residential</v>
      </c>
      <c r="I535">
        <v>45498</v>
      </c>
      <c r="J535">
        <v>45567</v>
      </c>
      <c r="K535" t="str">
        <v>Town of St. George</v>
      </c>
      <c r="L535">
        <v>47357</v>
      </c>
      <c r="M535">
        <v>45545</v>
      </c>
      <c r="N535" t="str">
        <v/>
      </c>
      <c r="O535" t="str">
        <v>Yes</v>
      </c>
      <c r="P535">
        <v>32.382931</v>
      </c>
      <c r="Q535">
        <v>-64.67565</v>
      </c>
    </row>
    <row r="536" xml:space="preserve">
      <c r="A536" t="str">
        <v>BC0086-24</v>
      </c>
      <c r="B536" t="str" xml:space="preserve">
        <v xml:space="preserve">76 Pitts Bay Road_x000d__x000d_
Pembroke, BM HM08</v>
      </c>
      <c r="C536" t="str">
        <v>Building - Commercial</v>
      </c>
      <c r="D536" t="str">
        <v>Complete</v>
      </c>
      <c r="E536">
        <v>45538</v>
      </c>
      <c r="F536" t="str">
        <v xml:space="preserve">Roof Mounted Solar PV System - 5723.2 sq ft, 245 @ 440W Modules, System Capacity: 107.8 </v>
      </c>
      <c r="G536">
        <v>107.8</v>
      </c>
      <c r="H536" t="str">
        <v>Building Commercial</v>
      </c>
      <c r="I536">
        <v>45503</v>
      </c>
      <c r="J536">
        <v>45616</v>
      </c>
      <c r="K536" t="str">
        <v>Pembroke</v>
      </c>
      <c r="L536">
        <v>47364</v>
      </c>
      <c r="M536">
        <v>45611</v>
      </c>
      <c r="N536" t="str">
        <v/>
      </c>
      <c r="O536" t="str">
        <v>Yes</v>
      </c>
      <c r="P536">
        <v>32.2905525</v>
      </c>
      <c r="Q536">
        <v>-64.7923192</v>
      </c>
    </row>
    <row r="537" xml:space="preserve">
      <c r="A537" t="str">
        <v>B0294-24</v>
      </c>
      <c r="B537" t="str" xml:space="preserve">
        <v xml:space="preserve">8 Southlyn Lane_x000d__x000d_
Paget, PG03</v>
      </c>
      <c r="C537" t="str">
        <v>Permitted Development</v>
      </c>
      <c r="D537" t="str">
        <v>Complete</v>
      </c>
      <c r="E537">
        <v>45539</v>
      </c>
      <c r="F537" t="str">
        <v>Roof Mounted Solar PV System: 8 Panels @ 420 W/Panel; 20.8 sq ft/Panel; Total sq ft 166.4; Total System Capacity 3.36 ; Total Annual Output 4,872 h | Tesla Powerwall: 1 Tesla Powerwall @ 13.5 /Powerwall; Total System Capacity 13.5 ; 4.46 sq ft/Powerwall; Total sq ft 4.46</v>
      </c>
      <c r="G537">
        <v>3.36</v>
      </c>
      <c r="H537" t="str">
        <v>Residential</v>
      </c>
      <c r="I537">
        <v>45532</v>
      </c>
      <c r="J537">
        <v>45663</v>
      </c>
      <c r="K537" t="str">
        <v>Paget</v>
      </c>
      <c r="L537">
        <v>47365</v>
      </c>
      <c r="M537">
        <v>45659</v>
      </c>
      <c r="N537" t="str">
        <v/>
      </c>
      <c r="O537" t="str">
        <v>Yes</v>
      </c>
      <c r="P537">
        <v>32.280962</v>
      </c>
      <c r="Q537">
        <v>-64.777781</v>
      </c>
    </row>
    <row r="538" xml:space="preserve">
      <c r="A538" t="str">
        <v>B0287-24</v>
      </c>
      <c r="B538" t="str" xml:space="preserve">
        <v xml:space="preserve">32 Pearman's Hill West_x000d__x000d_
Warwick, BM WK03</v>
      </c>
      <c r="C538" t="str">
        <v>Permitted Development</v>
      </c>
      <c r="D538" t="str">
        <v>Complete</v>
      </c>
      <c r="E538">
        <v>45539</v>
      </c>
      <c r="F538" t="str">
        <v>Roof-Mounted Solar PV System: 12 Panels @ 420 W/Panel; 20.8 sq ft/Panel; Total sq ft 238.8; Total System Capacity 5.04 ; Total Annual Output 7,047 h | 1 Tesla Powerwall @ 13.5 / Powerwall; Total System Capacity 13.5 ; 4.46 sq ft/ Powerwall; Total sq ft 4.46</v>
      </c>
      <c r="G538">
        <v>5.04</v>
      </c>
      <c r="H538" t="str">
        <v>Residential</v>
      </c>
      <c r="I538">
        <v>45516</v>
      </c>
      <c r="J538">
        <v>45582</v>
      </c>
      <c r="K538" t="str">
        <v>Warwick</v>
      </c>
      <c r="L538">
        <v>47365</v>
      </c>
      <c r="M538">
        <v>45575</v>
      </c>
      <c r="N538" t="str">
        <v/>
      </c>
      <c r="O538" t="str">
        <v>Yes</v>
      </c>
      <c r="P538">
        <v>32.264557</v>
      </c>
      <c r="Q538">
        <v>-64.808841</v>
      </c>
    </row>
    <row r="539" xml:space="preserve">
      <c r="A539" t="str">
        <v>B0266-24</v>
      </c>
      <c r="B539" t="str" xml:space="preserve">
        <v xml:space="preserve">4 Aldie Drive_x000d__x000d_
Smiths, BM FL02</v>
      </c>
      <c r="C539" t="str">
        <v>Permitted Development</v>
      </c>
      <c r="D539" t="str">
        <v>Complete</v>
      </c>
      <c r="E539">
        <v>45545</v>
      </c>
      <c r="F539" t="str" xml:space="preserve">
        <v xml:space="preserve">Proposed Addition: 19 Panels Added to Existing PV System @ 420 W/Panel; 20.8 sq ft/Panel; Total (Added) sq ft 395.2; Total (Added) System Capacity 7.98 ; Total (Added) Annual Output 11,571 h | 1 Tesla Powerwall @ 13.5 / Powerwall; Total System Capacity 13.5 ; 4.48 sq ft/ Powerwall; Total sq ft 4.48_x000d__x000d_
Existing system: 30 Panels @ 380 W/Panel; 19.8 sq ft/ Panel; Total sq ft 594; Total system capacity 11.4; Total Annual Output 15,960 h | Tesla Powerwall 2 @ 13.5h. Total System Capacity 13.5h, 4.48 sq ft/Powerwall._x000d__x000d_
Total System: 989.2 sq ft; Total System Capacity 19.38; Total Annual Output 27,531 h | 2 Tesla Powerwall @ 13.5 / Powerwall; Total System Capacity 27 ; 4.48 sq ft/ Powerwall; Total sq ft 8.96</v>
      </c>
      <c r="G539">
        <v>19.38</v>
      </c>
      <c r="H539" t="str">
        <v>Residential</v>
      </c>
      <c r="I539">
        <v>45497</v>
      </c>
      <c r="J539">
        <v>45601</v>
      </c>
      <c r="K539" t="str">
        <v>Smiths</v>
      </c>
      <c r="L539">
        <v>47371</v>
      </c>
      <c r="M539">
        <v>45594</v>
      </c>
      <c r="N539" t="str">
        <v/>
      </c>
      <c r="O539" t="str">
        <v>Yes</v>
      </c>
      <c r="P539">
        <v>32.314128</v>
      </c>
      <c r="Q539">
        <v>-64.745546</v>
      </c>
    </row>
    <row r="540" xml:space="preserve">
      <c r="A540" t="str">
        <v>B0306-24</v>
      </c>
      <c r="B540" t="str" xml:space="preserve">
        <v xml:space="preserve">13 Windermere_x000d__x000d_
Pembroke, HM05</v>
      </c>
      <c r="C540" t="str">
        <v>Permitted Development</v>
      </c>
      <c r="D540" t="str">
        <v>Complete</v>
      </c>
      <c r="E540">
        <v>45565</v>
      </c>
      <c r="F540" t="str">
        <v>Proposed Roof Mounted System: 18 Panels @ 420 W/Panel; 20.8 sq ft/Panel; Total sq ft 374.4; Total System Capacity 7.56 ; Total Annual Output 10,962 h | 1 Tesla Powerwall @ 13.5 / Powerwall; Total System Capacity 13.5 ; 4.48 sq ft/ Powerwall; Total sq ft 4.48</v>
      </c>
      <c r="G540">
        <v>7.56</v>
      </c>
      <c r="H540" t="str">
        <v>Residential</v>
      </c>
      <c r="I540">
        <v>45548</v>
      </c>
      <c r="J540">
        <v>45698</v>
      </c>
      <c r="K540" t="str">
        <v>Pembroke</v>
      </c>
      <c r="L540">
        <v>47392</v>
      </c>
      <c r="M540">
        <v>45692</v>
      </c>
      <c r="N540" t="str">
        <v/>
      </c>
      <c r="O540" t="str">
        <v>Yes</v>
      </c>
      <c r="P540">
        <v>32.299549</v>
      </c>
      <c r="Q540">
        <v>-64.802894</v>
      </c>
    </row>
    <row r="541" xml:space="preserve">
      <c r="A541" t="str">
        <v>B0297-24</v>
      </c>
      <c r="B541" t="str" xml:space="preserve">
        <v xml:space="preserve">1 Timber Lane_x000d__x000d_
Pembroke, HM06</v>
      </c>
      <c r="C541" t="str">
        <v>Permitted Development</v>
      </c>
      <c r="D541" t="str">
        <v>Complete</v>
      </c>
      <c r="E541">
        <v>45565</v>
      </c>
      <c r="F541" t="str">
        <v>Proposed Roof Mounted Solar PV System: 32 Panels @ 420W/Panel, 20.8 sq ft/Panel, Total sq. ft. 665.6, Total System Capacity 13.44 , Total Annual Output 19,488  *Revision 1: Proposed Roof Mounted Solar PV System: 32 Panels @ 420W/Panel, 20.8 sq ft/Panel, Total sq. ft. 665.6, Total System Capacity 13.44 , Total Annual Output 19,488  Note: Only change is panel placement.</v>
      </c>
      <c r="G541">
        <v>13.44</v>
      </c>
      <c r="H541" t="str">
        <v>Residential</v>
      </c>
      <c r="I541">
        <v>45539</v>
      </c>
      <c r="J541">
        <v>45624</v>
      </c>
      <c r="K541" t="str">
        <v>Pembroke</v>
      </c>
      <c r="L541">
        <v>47392</v>
      </c>
      <c r="M541">
        <v>45622</v>
      </c>
      <c r="N541" t="str">
        <v/>
      </c>
      <c r="O541" t="str">
        <v>Yes</v>
      </c>
      <c r="P541">
        <v>32.296195</v>
      </c>
      <c r="Q541">
        <v>-64.799507</v>
      </c>
    </row>
    <row r="542" xml:space="preserve">
      <c r="A542" t="str">
        <v>B0422-23</v>
      </c>
      <c r="B542" t="str" xml:space="preserve">
        <v xml:space="preserve">14 Laffan Street_x000d__x000d_
City of Hamilton, BM HM09</v>
      </c>
      <c r="C542" t="str">
        <v>Permitted Development</v>
      </c>
      <c r="D542" t="str">
        <v>Issued</v>
      </c>
      <c r="E542">
        <v>45567</v>
      </c>
      <c r="F542" t="str">
        <v>Addition of Roof Mounted Solar PV System. 36 410W Modules. Total Wattage, 14,760W. Module Area: 19.96 sf. Total area, 757.8sf. Estimated Annual Yield, 22,170 h.</v>
      </c>
      <c r="G542">
        <v>14.76</v>
      </c>
      <c r="H542" t="str">
        <v>Commercial</v>
      </c>
      <c r="I542">
        <v>45219</v>
      </c>
      <c r="J542" t="str">
        <v/>
      </c>
      <c r="K542" t="str">
        <v>City of Hamilton</v>
      </c>
      <c r="L542">
        <v>47393</v>
      </c>
      <c r="M542">
        <v>46198</v>
      </c>
      <c r="N542" t="str">
        <v/>
      </c>
      <c r="O542" t="str">
        <v>Yes</v>
      </c>
      <c r="P542">
        <v>32.297671</v>
      </c>
      <c r="Q542">
        <v>-64.785587</v>
      </c>
    </row>
    <row r="543" xml:space="preserve">
      <c r="A543" t="str">
        <v>B0295-24</v>
      </c>
      <c r="B543" t="str" xml:space="preserve">
        <v xml:space="preserve">8 Inglewood Lane_x000d__x000d_
Paget, PG06</v>
      </c>
      <c r="C543" t="str">
        <v>Permitted Development</v>
      </c>
      <c r="D543" t="str">
        <v>Complete</v>
      </c>
      <c r="E543">
        <v>45569</v>
      </c>
      <c r="F543" t="str">
        <v>Roof Mounted Solar PV System - 117 sq ft, 6x370W Modules, System Capacity: 2.22, Wall Mounted Battery System - 15h</v>
      </c>
      <c r="G543">
        <v>2.22</v>
      </c>
      <c r="H543" t="str">
        <v>Residential</v>
      </c>
      <c r="I543">
        <v>45532</v>
      </c>
      <c r="J543">
        <v>45569</v>
      </c>
      <c r="K543" t="str">
        <v>Paget</v>
      </c>
      <c r="L543">
        <v>47395</v>
      </c>
      <c r="M543">
        <v>45597</v>
      </c>
      <c r="N543" t="str">
        <v/>
      </c>
      <c r="O543" t="str">
        <v>Yes</v>
      </c>
      <c r="P543">
        <v>32.286772</v>
      </c>
      <c r="Q543">
        <v>-64.766868</v>
      </c>
    </row>
    <row r="544" xml:space="preserve">
      <c r="A544" t="str">
        <v>B0290-24</v>
      </c>
      <c r="B544" t="str" xml:space="preserve">
        <v xml:space="preserve">4 Lulworth Lane_x000d__x000d_
Pembroke, BM HM05</v>
      </c>
      <c r="C544" t="str">
        <v>Permitted Development</v>
      </c>
      <c r="D544" t="str">
        <v>Complete</v>
      </c>
      <c r="E544">
        <v>45569</v>
      </c>
      <c r="F544" t="str">
        <v>Proposed Roof Mounted System: 27 Panels @ 420 W/Panel; 20.8 sq ft/Panel; Total sq ft 561.6; Total System Capacity 11.34 ; Total Annual Output 16,443 h | 1 Tesla Powerwall @ 13.5 / Powerwall; Total System Capacity 13.5 ; 4.48 sq ft/ Powerwall; Total sq ft 4.48 *Revision 1: 26 Panels @ 420 W/Panel; 20.8 sq ft/Panel; Total sq ft 540.8; Total System Capacity 10.92 ; Total Annual Output 15,834 h | 1 Tesla Powerwall @ 13.5 / Powerwall; Total System Capacity 13.5 ; 4.48 sq ft/ Powerwall; Total sq ft 4.48 Note: Only change is removed one panel and changed placement.</v>
      </c>
      <c r="G544">
        <v>11.34</v>
      </c>
      <c r="H544" t="str">
        <v>Residential</v>
      </c>
      <c r="I544">
        <v>45523</v>
      </c>
      <c r="J544">
        <v>45665</v>
      </c>
      <c r="K544" t="str">
        <v>Pembroke</v>
      </c>
      <c r="L544">
        <v>47395</v>
      </c>
      <c r="M544">
        <v>45644</v>
      </c>
      <c r="N544" t="str">
        <v/>
      </c>
      <c r="O544" t="str">
        <v>Yes</v>
      </c>
      <c r="P544">
        <v>32.2930967</v>
      </c>
      <c r="Q544">
        <v>-64.8055015</v>
      </c>
    </row>
    <row r="545" xml:space="preserve">
      <c r="A545" t="str">
        <v>BC0008-24</v>
      </c>
      <c r="B545" t="str" xml:space="preserve">
        <v xml:space="preserve">5 The Lane_x000d__x000d_
Paget, BM PG05</v>
      </c>
      <c r="C545" t="str">
        <v>Building - Commercial</v>
      </c>
      <c r="D545" t="str">
        <v>Under Construction</v>
      </c>
      <c r="E545">
        <v>45569</v>
      </c>
      <c r="F545" t="str">
        <v>Internal Renovations &amp; Alterations. New Parking Area for Doctors Office with Solar Panels Above. New Covered Walk Way. PV Solar System 48 panels @ 300 W/panel; 19.8 sq ft/ panel; Total system area 952 sq ft; Total DC Output 14.4 ; Annual Output 19710 h *Revision 1: Revision to doors &amp; new higher roof.  *Revision* (2) Batoom Addition.</v>
      </c>
      <c r="G545">
        <v>14.4</v>
      </c>
      <c r="H545" t="str">
        <v>Building Commercial</v>
      </c>
      <c r="I545">
        <v>45309</v>
      </c>
      <c r="J545" t="str">
        <v/>
      </c>
      <c r="K545" t="str">
        <v>Paget</v>
      </c>
      <c r="L545">
        <v>47395</v>
      </c>
      <c r="M545">
        <v>46101</v>
      </c>
      <c r="N545" t="str">
        <v/>
      </c>
      <c r="O545" t="str">
        <v>Yes</v>
      </c>
      <c r="P545">
        <v>32.290426</v>
      </c>
      <c r="Q545">
        <v>-64.772063</v>
      </c>
    </row>
    <row r="546" xml:space="preserve">
      <c r="A546" t="str">
        <v>B0307-24</v>
      </c>
      <c r="B546" t="str" xml:space="preserve">
        <v xml:space="preserve">1 High Knoll Lane_x000d__x000d_
Smiths, HS01</v>
      </c>
      <c r="C546" t="str">
        <v>Permitted Development</v>
      </c>
      <c r="D546" t="str">
        <v>Complete</v>
      </c>
      <c r="E546">
        <v>45575</v>
      </c>
      <c r="F546" t="str" xml:space="preserve">
        <v xml:space="preserve">Proposed Roof-Mounted Solar PV System: 26 Panels @ 420 W/Panel; 20.8 sq ft/Panel; Total sq ft 540.8; Total System Capacity 10.92 ; Total Annual Output 15,834 h_x000d_
*Revision* - Revision 2: Proposed Roof-Mounted Solar PV System: 26 Panels @ 450 W/Panel; 22.4 sq ft/Panel; Total sq ft 582.4; Total AC System Capacity 11.7; Total DC System Capacity 10.06; Total Annual Output 16,965 h | Tesla Powerwall: 2 Tesla Powerwall3 @ 13.5 / Powerwall; Total System Capacity 27 ; 4.57 sq ft/ Powerwall; Total sq ft 9.14._x000d_
**Change is system size and panel layout._x000d_
*REVISON 3Revision 3: Proposed Roof-Mounted Solar PV System: 26 Panels @ 450 W/Panel; 22.4 sq ft/Panel; Total sq ft 582.4; Total AC System Capacity 11.7; Total DC System Capacity 10.06; Total Annual Output 16,965 h | Tesla Powerwall: 2 Tesla Powerwall3 @ 13.5 / Powerwall; Total System Capacity 27 ; 4.57 sq ft/ Powerwall; Total sq ft 9.14._x000d_
_x000d_
*Only change is panel layout</v>
      </c>
      <c r="G546">
        <v>11.7</v>
      </c>
      <c r="H546" t="str">
        <v>Residential</v>
      </c>
      <c r="I546">
        <v>45548</v>
      </c>
      <c r="J546">
        <v>46010</v>
      </c>
      <c r="K546" t="str">
        <v>Smiths</v>
      </c>
      <c r="L546">
        <v>47401</v>
      </c>
      <c r="M546">
        <v>45994</v>
      </c>
      <c r="N546" t="str">
        <v/>
      </c>
      <c r="O546" t="str">
        <v>Yes</v>
      </c>
      <c r="P546">
        <v>32.316389</v>
      </c>
      <c r="Q546">
        <v>-64.718497</v>
      </c>
    </row>
    <row r="547" xml:space="preserve">
      <c r="A547" t="str">
        <v>B0327-24</v>
      </c>
      <c r="B547" t="str" xml:space="preserve">
        <v xml:space="preserve">14 Jubilee Road_x000d__x000d_
Devonshire, DV06</v>
      </c>
      <c r="C547" t="str">
        <v>Permitted Development</v>
      </c>
      <c r="D547" t="str">
        <v>Complete</v>
      </c>
      <c r="E547">
        <v>45575</v>
      </c>
      <c r="F547" t="str">
        <v>PV Solar System 15 panels @ 370W/panel; 19.5sqft/panel; Total system area 294sqft; Total DC Output 5.55; Annual Output 7170h; Total AC Output 4.35; wall mounted battery system - 10h *Revision 1: Reconfiguration of approved panel layout.</v>
      </c>
      <c r="G547">
        <v>4.35</v>
      </c>
      <c r="H547" t="str">
        <v>Residential</v>
      </c>
      <c r="I547">
        <v>45560</v>
      </c>
      <c r="J547">
        <v>45698</v>
      </c>
      <c r="K547" t="str">
        <v>Devonshire</v>
      </c>
      <c r="L547">
        <v>47401</v>
      </c>
      <c r="M547">
        <v>45693</v>
      </c>
      <c r="N547" t="str">
        <v/>
      </c>
      <c r="O547" t="str">
        <v>Yes</v>
      </c>
      <c r="P547">
        <v>32.302098</v>
      </c>
      <c r="Q547">
        <v>-64.761213</v>
      </c>
    </row>
    <row r="548" xml:space="preserve">
      <c r="A548" t="str">
        <v>B0323-24</v>
      </c>
      <c r="B548" t="str" xml:space="preserve">
        <v xml:space="preserve">17 Friths Farm Road_x000d__x000d_
Paget, PG03</v>
      </c>
      <c r="C548" t="str">
        <v>Permitted Development</v>
      </c>
      <c r="D548" t="str">
        <v>Complete</v>
      </c>
      <c r="E548">
        <v>45575</v>
      </c>
      <c r="F548" t="str" xml:space="preserve">
        <v xml:space="preserve">PV Solar System 12 panels @ 370W/panel; _x000d_
19.5sqft/panel; _x000d_
Total system area 236sqft; _x000d_
Total DC Output 4.44; _x000d_
Annual Output 5741h; _x000d_
Total AC Output 3.48</v>
      </c>
      <c r="G548">
        <v>3.48</v>
      </c>
      <c r="H548" t="str">
        <v>Residential</v>
      </c>
      <c r="I548">
        <v>45559</v>
      </c>
      <c r="J548">
        <v>45713</v>
      </c>
      <c r="K548" t="str">
        <v>Paget</v>
      </c>
      <c r="L548">
        <v>47401</v>
      </c>
      <c r="M548">
        <v>45712</v>
      </c>
      <c r="N548" t="str">
        <v/>
      </c>
      <c r="O548" t="str">
        <v>Yes</v>
      </c>
      <c r="P548">
        <v>32.302098</v>
      </c>
      <c r="Q548">
        <v>-64.761213</v>
      </c>
    </row>
    <row r="549" xml:space="preserve">
      <c r="A549" t="str">
        <v>B0303-24</v>
      </c>
      <c r="B549" t="str" xml:space="preserve">
        <v xml:space="preserve">10 Valley Road_x000d__x000d_
Paget, PG05</v>
      </c>
      <c r="C549" t="str">
        <v>Permitted Development</v>
      </c>
      <c r="D549" t="str">
        <v>Complete</v>
      </c>
      <c r="E549">
        <v>45581</v>
      </c>
      <c r="F549" t="str">
        <v>roof mounted solar PV system - 490sqft; 25x370W modules; System Capacity: 9.25-DC 7.25-AC; wall mounted battery system - 15h</v>
      </c>
      <c r="G549">
        <v>7.25</v>
      </c>
      <c r="H549" t="str">
        <v>Residential</v>
      </c>
      <c r="I549">
        <v>45547</v>
      </c>
      <c r="J549">
        <v>45608</v>
      </c>
      <c r="K549" t="str">
        <v>Paget</v>
      </c>
      <c r="L549">
        <v>47407</v>
      </c>
      <c r="M549">
        <v>45600</v>
      </c>
      <c r="N549" t="str">
        <v/>
      </c>
      <c r="O549" t="str">
        <v>Yes</v>
      </c>
      <c r="P549">
        <v>32.2835016</v>
      </c>
      <c r="Q549">
        <v>-64.7776835</v>
      </c>
    </row>
    <row r="550" xml:space="preserve">
      <c r="A550" t="str">
        <v>BC0069-24</v>
      </c>
      <c r="B550" t="str" xml:space="preserve">
        <v xml:space="preserve">1 Harbour Road_x000d__x000d_
Paget, BM PG01</v>
      </c>
      <c r="C550" t="str">
        <v>Building - Commercial</v>
      </c>
      <c r="D550" t="str">
        <v>Complete</v>
      </c>
      <c r="E550">
        <v>45581</v>
      </c>
      <c r="F550" t="str">
        <v>Proposed Roof Mounted Solar Panels 55 Panels Total, 20 Sq Ft Per Panel, 1133 Sq. Ft Total ; 430W Per Panel 23.65 System Output.</v>
      </c>
      <c r="G550">
        <v>23.65</v>
      </c>
      <c r="H550" t="str">
        <v>Building Commercial</v>
      </c>
      <c r="I550">
        <v>45449</v>
      </c>
      <c r="J550">
        <v>45758</v>
      </c>
      <c r="K550" t="str">
        <v>Bermuda</v>
      </c>
      <c r="L550">
        <v>47407</v>
      </c>
      <c r="M550">
        <v>45736</v>
      </c>
      <c r="N550" t="str">
        <v/>
      </c>
      <c r="O550" t="str">
        <v>Yes</v>
      </c>
      <c r="P550">
        <v>32.2810336</v>
      </c>
      <c r="Q550">
        <v>-64.7948055</v>
      </c>
    </row>
    <row r="551" xml:space="preserve">
      <c r="A551" t="str">
        <v>B0292-24</v>
      </c>
      <c r="B551" t="str" xml:space="preserve">
        <v xml:space="preserve">18 First Avenue_x000d__x000d_
Pembroke, HM20, Bermuda</v>
      </c>
      <c r="C551" t="str">
        <v>Permitted Development</v>
      </c>
      <c r="D551" t="str">
        <v>Complete</v>
      </c>
      <c r="E551">
        <v>45582</v>
      </c>
      <c r="F551" t="str" xml:space="preserve">
        <v xml:space="preserve">Pergola and PV Solar System 12 panels  @440W/panel; _x000d_
Total system area 281sqft; _x000d_
Total DC Output 5.28; _x000d_
Annual Output 6418h; _x000d_
Total AC Output 3.48_x000d_
*REVISION* shift pergola 4ft to the East, along boundary</v>
      </c>
      <c r="G551">
        <v>3.48</v>
      </c>
      <c r="H551" t="str">
        <v>Residential</v>
      </c>
      <c r="I551">
        <v>45527</v>
      </c>
      <c r="J551">
        <v>45863</v>
      </c>
      <c r="K551" t="str">
        <v>Pembroke</v>
      </c>
      <c r="L551">
        <v>47408</v>
      </c>
      <c r="M551">
        <v>45860</v>
      </c>
      <c r="N551" t="str">
        <v/>
      </c>
      <c r="O551" t="str">
        <v>Yes</v>
      </c>
      <c r="P551">
        <v>32.2950342</v>
      </c>
      <c r="Q551">
        <v>-64.7732414</v>
      </c>
    </row>
    <row r="552" xml:space="preserve">
      <c r="A552" t="str">
        <v>B0322-24</v>
      </c>
      <c r="B552" t="str" xml:space="preserve">
        <v xml:space="preserve">3 Devon Point Lane_x000d__x000d_
Devonshire, FL05</v>
      </c>
      <c r="C552" t="str">
        <v>Permitted Development</v>
      </c>
      <c r="D552" t="str">
        <v>Complete</v>
      </c>
      <c r="E552">
        <v>45582</v>
      </c>
      <c r="F552" t="str">
        <v xml:space="preserve">PV Solar System: 10 panels @ 420W/panel; 20.8 sq ft/ panel; Total system area 208 sq ft; Total DC Output 4.2 ; Annual Output 6,090 h; Total AC Output 3.66 </v>
      </c>
      <c r="G552">
        <v>3.66</v>
      </c>
      <c r="H552" t="str">
        <v>Residential</v>
      </c>
      <c r="I552">
        <v>45559</v>
      </c>
      <c r="J552">
        <v>45616</v>
      </c>
      <c r="K552" t="str">
        <v>Devonshire</v>
      </c>
      <c r="L552">
        <v>47408</v>
      </c>
      <c r="M552">
        <v>45614</v>
      </c>
      <c r="N552" t="str">
        <v/>
      </c>
      <c r="O552" t="str">
        <v>Yes</v>
      </c>
      <c r="P552">
        <v>32.301149</v>
      </c>
      <c r="Q552">
        <v>-64.744688</v>
      </c>
    </row>
    <row r="553" xml:space="preserve">
      <c r="A553" t="str">
        <v>B0339-24</v>
      </c>
      <c r="B553" t="str" xml:space="preserve">
        <v xml:space="preserve">13 Middleton Lane_x000d__x000d_
Paget, PG03</v>
      </c>
      <c r="C553" t="str">
        <v>Permitted Development</v>
      </c>
      <c r="D553" t="str">
        <v>Complete</v>
      </c>
      <c r="E553">
        <v>45582</v>
      </c>
      <c r="F553" t="str">
        <v xml:space="preserve">PV Solar System: 14 panels @ 420W/panel; 20.8 sq ft/ panel; Total system area 291.2 sq ft; Total DC Output 5.88 ; Annual Output 8,526 h; Total AC Output 5.04 </v>
      </c>
      <c r="G553">
        <v>5.04</v>
      </c>
      <c r="H553" t="str">
        <v>Residential</v>
      </c>
      <c r="I553">
        <v>45573</v>
      </c>
      <c r="J553">
        <v>45643</v>
      </c>
      <c r="K553" t="str">
        <v>Paget</v>
      </c>
      <c r="L553">
        <v>47408</v>
      </c>
      <c r="M553">
        <v>45635</v>
      </c>
      <c r="N553" t="str">
        <v/>
      </c>
      <c r="O553" t="str">
        <v>Yes</v>
      </c>
      <c r="P553">
        <v>32.2818317</v>
      </c>
      <c r="Q553">
        <v>-64.7805188</v>
      </c>
    </row>
    <row r="554" xml:space="preserve">
      <c r="A554" t="str">
        <v>B0185-24</v>
      </c>
      <c r="B554" t="str" xml:space="preserve">
        <v xml:space="preserve">53 Harrington Sound Road_x000d__x000d_
Hamilton, BM CR04</v>
      </c>
      <c r="C554" t="str">
        <v>Permitted Development</v>
      </c>
      <c r="D554" t="str">
        <v>Complete</v>
      </c>
      <c r="E554">
        <v>45582</v>
      </c>
      <c r="F554" t="str">
        <v>Roof Top Solar, 48 - 345W PV Modules, (16.56 ), Annual Production 22,786 h, Total Area 966 Square Feet. *Revision 1: Roof Top Solar, 45 - 345W PV Modules, Total DC output 15.53 , Annual Production 20,667 h, Total Area 906 Square Feet with 19.2 DC Coupled Battery Storage System Revision 2: Please find updated 53 Harrington Sound Road solar system. Updated SLD page 4, electrical room layout page 5 and Savant inverter specification page 20, 21 and 22.</v>
      </c>
      <c r="G554">
        <v>16.56</v>
      </c>
      <c r="H554" t="str">
        <v>Residential</v>
      </c>
      <c r="I554">
        <v>45434</v>
      </c>
      <c r="J554">
        <v>46149</v>
      </c>
      <c r="K554" t="str">
        <v>Hamilton</v>
      </c>
      <c r="L554">
        <v>47408</v>
      </c>
      <c r="M554">
        <v>45953</v>
      </c>
      <c r="N554" t="str">
        <v/>
      </c>
      <c r="O554" t="str">
        <v>Yes</v>
      </c>
      <c r="P554">
        <v>32.329076</v>
      </c>
      <c r="Q554">
        <v>-64.712027</v>
      </c>
    </row>
    <row r="555" xml:space="preserve">
      <c r="A555" t="str">
        <v>B0347-24</v>
      </c>
      <c r="B555" t="str" xml:space="preserve">
        <v xml:space="preserve">51 St. Anne's Road_x000d__x000d_
Southampton, SN02</v>
      </c>
      <c r="C555" t="str">
        <v>Permitted Development</v>
      </c>
      <c r="D555" t="str">
        <v>Complete</v>
      </c>
      <c r="E555">
        <v>45590</v>
      </c>
      <c r="F555" t="str">
        <v>PV Solar System 13 panels @ 370W/panel; 19.5sqft/panel; Total system area 255sqft;Total DC Output 4.81; Annual Output 5522h; Total AC Output 3.77</v>
      </c>
      <c r="G555">
        <v>3.77</v>
      </c>
      <c r="H555" t="str">
        <v>Residential</v>
      </c>
      <c r="I555">
        <v>45576</v>
      </c>
      <c r="J555">
        <v>45643</v>
      </c>
      <c r="K555" t="str">
        <v>Southampton</v>
      </c>
      <c r="L555">
        <v>47416</v>
      </c>
      <c r="M555">
        <v>45631</v>
      </c>
      <c r="N555" t="str">
        <v/>
      </c>
      <c r="O555" t="str">
        <v>Yes</v>
      </c>
      <c r="P555">
        <v>32.2529735</v>
      </c>
      <c r="Q555">
        <v>-64.8392026</v>
      </c>
    </row>
    <row r="556" xml:space="preserve">
      <c r="A556" t="str">
        <v>BR0167-24</v>
      </c>
      <c r="B556" t="str" xml:space="preserve">
        <v xml:space="preserve">3 Queen Street_x000d__x000d_
Town of St. George, BM GE05</v>
      </c>
      <c r="C556" t="str">
        <v>Building - Residential</v>
      </c>
      <c r="D556" t="str">
        <v>Complete</v>
      </c>
      <c r="E556">
        <v>45590</v>
      </c>
      <c r="F556" t="str">
        <v>Roof Top Solar 10, 395W PV Modules, 3.95, 5627 h/year, 222 Square Feet On a grade 2 listed historic building</v>
      </c>
      <c r="G556">
        <v>3.95</v>
      </c>
      <c r="H556" t="str">
        <v>Building Residential</v>
      </c>
      <c r="I556">
        <v>45525</v>
      </c>
      <c r="J556">
        <v>45671</v>
      </c>
      <c r="K556" t="str">
        <v>Town of St. George</v>
      </c>
      <c r="L556">
        <v>47416</v>
      </c>
      <c r="M556">
        <v>45646</v>
      </c>
      <c r="N556" t="str">
        <v/>
      </c>
      <c r="O556" t="str">
        <v>Yes</v>
      </c>
      <c r="P556">
        <v>32.3815161</v>
      </c>
      <c r="Q556">
        <v>-64.6780783</v>
      </c>
    </row>
    <row r="557" xml:space="preserve">
      <c r="A557" t="str">
        <v>BREV0367-24</v>
      </c>
      <c r="B557" t="str" xml:space="preserve">
        <v xml:space="preserve">4 Lulworth Lane_x000d__x000d_
Pembroke, BM HM05</v>
      </c>
      <c r="C557" t="str">
        <v>Permit Revision</v>
      </c>
      <c r="D557" t="str">
        <v>Complete</v>
      </c>
      <c r="E557">
        <v>45593</v>
      </c>
      <c r="F557" t="str" xml:space="preserve">
        <v xml:space="preserve">26 Panels @ 420 W/Panel; 20.8 sq ft/Panel; Total sq ft 540.8; Total System Capacity 10.92 ; Total Annual Output 15,834 h | 1 Tesla Powerwall @ 13.5 / Powerwall; Total System Capacity 13.5 ; 4.48 sq ft/ Powerwall; Total sq ft 4.48_x000d__x000d_
*Note: Only change is removed one panel and changed placement.</v>
      </c>
      <c r="G557">
        <v>10.92</v>
      </c>
      <c r="H557" t="str">
        <v>Residential Revision</v>
      </c>
      <c r="I557">
        <v>45569</v>
      </c>
      <c r="J557">
        <v>45594</v>
      </c>
      <c r="K557" t="str">
        <v>Pembroke</v>
      </c>
      <c r="L557" t="str">
        <v/>
      </c>
      <c r="M557" t="str">
        <v/>
      </c>
      <c r="N557" t="str">
        <v/>
      </c>
      <c r="O557" t="str">
        <v>Yes</v>
      </c>
      <c r="P557">
        <v>32.2935435</v>
      </c>
      <c r="Q557">
        <v>-64.8054161</v>
      </c>
    </row>
    <row r="558" xml:space="preserve">
      <c r="A558" t="str">
        <v>B0348-24</v>
      </c>
      <c r="B558" t="str" xml:space="preserve">
        <v xml:space="preserve">9 Verdmont Valley Drive_x000d__x000d_
Smiths, FL02</v>
      </c>
      <c r="C558" t="str">
        <v>Permitted Development</v>
      </c>
      <c r="D558" t="str">
        <v>Complete</v>
      </c>
      <c r="E558">
        <v>45593</v>
      </c>
      <c r="F558" t="str">
        <v>PV Solar System 14 panels @ 370W/panel; 19.5sqft/panel; Total system area 275sqft; Total DC Output 5.18; Annual Output 6659h; Total AC Output 4.06</v>
      </c>
      <c r="G558">
        <v>4.06</v>
      </c>
      <c r="H558" t="str">
        <v>Residential</v>
      </c>
      <c r="I558">
        <v>45576</v>
      </c>
      <c r="J558">
        <v>45643</v>
      </c>
      <c r="K558" t="str">
        <v>Smiths</v>
      </c>
      <c r="L558">
        <v>47420</v>
      </c>
      <c r="M558">
        <v>45628</v>
      </c>
      <c r="N558" t="str">
        <v/>
      </c>
      <c r="O558" t="str">
        <v>Yes</v>
      </c>
      <c r="P558">
        <v>32.310749</v>
      </c>
      <c r="Q558">
        <v>-64.743077</v>
      </c>
    </row>
    <row r="559" xml:space="preserve">
      <c r="A559" t="str">
        <v>BREV0347-24</v>
      </c>
      <c r="B559" t="str" xml:space="preserve">
        <v xml:space="preserve">34 South Road_x000d__x000d_
Southampton, BM SN01</v>
      </c>
      <c r="C559" t="str">
        <v>Permit Revision</v>
      </c>
      <c r="D559" t="str">
        <v>Complete</v>
      </c>
      <c r="E559">
        <v>45597</v>
      </c>
      <c r="F559" t="str" xml:space="preserve">
        <v xml:space="preserve">Revision 2: 29 Panels @ 420 w/Panel; 20.8 sq ft/Panel; Total sq ft 603.2; Total System Capacity 12.18 ; Total Annual Output 17,661  | Tesla Powerwall: 2 Tesla Powerwall @ 13.5  / Powerwall; Total System Capacity 27 ; 4.46 sq ft/ Powerwall; Total sq ft 8.92_x000d_
*Number of panels &amp; system size has changed.</v>
      </c>
      <c r="G559">
        <v>12.18</v>
      </c>
      <c r="H559" t="str">
        <v>Residential Revision</v>
      </c>
      <c r="I559">
        <v>45554</v>
      </c>
      <c r="J559">
        <v>45604</v>
      </c>
      <c r="K559" t="str">
        <v>Southampton</v>
      </c>
      <c r="L559" t="str">
        <v/>
      </c>
      <c r="M559" t="str">
        <v/>
      </c>
      <c r="N559" t="str">
        <v/>
      </c>
      <c r="O559" t="str">
        <v>Yes</v>
      </c>
      <c r="P559">
        <v>32.2485197</v>
      </c>
      <c r="Q559">
        <v>-64.8392014</v>
      </c>
    </row>
    <row r="560" xml:space="preserve">
      <c r="A560" t="str">
        <v>B0355-24</v>
      </c>
      <c r="B560" t="str" xml:space="preserve">
        <v xml:space="preserve">18 Riddell's Bay Road_x000d__x000d_
Warwick, WK04</v>
      </c>
      <c r="C560" t="str">
        <v>Permitted Development</v>
      </c>
      <c r="D560" t="str">
        <v>Complete</v>
      </c>
      <c r="E560">
        <v>45609</v>
      </c>
      <c r="F560" t="str">
        <v xml:space="preserve">Roof-mounted PV Solar System: 28 panels @ 420W/panel; 20.8 sq ft/ panel; Total system area 582.4 sq ft; Total DC Output 11.76 ; Annual Output 17,052 h; Total AC Output 10.08 </v>
      </c>
      <c r="G560">
        <v>10.08</v>
      </c>
      <c r="H560" t="str">
        <v>Residential</v>
      </c>
      <c r="I560">
        <v>45583</v>
      </c>
      <c r="J560">
        <v>45748</v>
      </c>
      <c r="K560" t="str">
        <v>Warwick</v>
      </c>
      <c r="L560">
        <v>47435</v>
      </c>
      <c r="M560">
        <v>45727</v>
      </c>
      <c r="N560" t="str">
        <v/>
      </c>
      <c r="O560" t="str">
        <v>Yes</v>
      </c>
      <c r="P560">
        <v>32.263911</v>
      </c>
      <c r="Q560">
        <v>-64.819931</v>
      </c>
    </row>
    <row r="561" xml:space="preserve">
      <c r="A561" t="str">
        <v>BREV0389-24</v>
      </c>
      <c r="B561" t="str" xml:space="preserve">
        <v xml:space="preserve">1 Timber Lane_x000d__x000d_
Pembroke, HM06</v>
      </c>
      <c r="C561" t="str">
        <v>Permit Revision</v>
      </c>
      <c r="D561" t="str">
        <v>Complete</v>
      </c>
      <c r="E561">
        <v>45609</v>
      </c>
      <c r="F561" t="str" xml:space="preserve">
        <v xml:space="preserve">Proposed Roof Mounted Solar PV System: 32 Panels @ 420W/Panel, 20.8 sq ft/Panel, Total sq. ft. 665.6, Total System Capacity 13.44 , Total Annual Output 19,488 _x000d_
_x000d_
*Note: Only change is panel placement.</v>
      </c>
      <c r="G561">
        <v>13.44</v>
      </c>
      <c r="H561" t="str">
        <v>Residential Revision</v>
      </c>
      <c r="I561">
        <v>45589</v>
      </c>
      <c r="J561">
        <v>45610</v>
      </c>
      <c r="K561" t="str">
        <v>Pembroke</v>
      </c>
      <c r="L561" t="str">
        <v/>
      </c>
      <c r="M561" t="str">
        <v/>
      </c>
      <c r="N561" t="str">
        <v/>
      </c>
      <c r="O561" t="str">
        <v>Yes</v>
      </c>
      <c r="P561">
        <v>32.296195</v>
      </c>
      <c r="Q561">
        <v>-64.799507</v>
      </c>
    </row>
    <row r="562" xml:space="preserve">
      <c r="A562" t="str">
        <v>B0367-24</v>
      </c>
      <c r="B562" t="str" xml:space="preserve">
        <v xml:space="preserve">1 Turtle Bay Lane_x000d__x000d_
Southampton, SN01</v>
      </c>
      <c r="C562" t="str">
        <v>Permitted Development</v>
      </c>
      <c r="D562" t="str">
        <v>Complete</v>
      </c>
      <c r="E562">
        <v>45610</v>
      </c>
      <c r="F562" t="str">
        <v xml:space="preserve">Roof-mounted PV Solar System: 37 panels @ 420W/panel; 20.8 sq ft/ panel; Total system area 769.6 sq ft; Total DC Output 15.54 ; Annual Output 22,533 h; Total AC Output 13.32 </v>
      </c>
      <c r="G562">
        <v>13.32</v>
      </c>
      <c r="H562" t="str">
        <v>Residential</v>
      </c>
      <c r="I562">
        <v>45595</v>
      </c>
      <c r="J562">
        <v>45685</v>
      </c>
      <c r="K562" t="str">
        <v>Southampton</v>
      </c>
      <c r="L562">
        <v>47436</v>
      </c>
      <c r="M562">
        <v>45650</v>
      </c>
      <c r="N562" t="str">
        <v/>
      </c>
      <c r="O562" t="str">
        <v>Yes</v>
      </c>
      <c r="P562">
        <v>32.2511129</v>
      </c>
      <c r="Q562">
        <v>-64.8526628</v>
      </c>
    </row>
    <row r="563" xml:space="preserve">
      <c r="A563" t="str">
        <v>B0376-24</v>
      </c>
      <c r="B563" t="str" xml:space="preserve">
        <v xml:space="preserve">36 Union Street_x000d__x000d_
City of Hamilton, HM10</v>
      </c>
      <c r="C563" t="str">
        <v>Permitted Development</v>
      </c>
      <c r="D563" t="str">
        <v>Complete</v>
      </c>
      <c r="E563">
        <v>45616</v>
      </c>
      <c r="F563" t="str">
        <v xml:space="preserve">Roof-mounted PV Solar System: 14 panels @ 420W/panel; 20.8 sq ft/ panel; Total system area 291.2 sq ft; Total DC Output 5.88 ; Annual Output 8,526 h; Total AC Output 5.04 </v>
      </c>
      <c r="G563">
        <v>5.04</v>
      </c>
      <c r="H563" t="str">
        <v>Residential</v>
      </c>
      <c r="I563">
        <v>45603</v>
      </c>
      <c r="J563">
        <v>45790</v>
      </c>
      <c r="K563" t="str">
        <v>City of Hamilton</v>
      </c>
      <c r="L563">
        <v>47442</v>
      </c>
      <c r="M563">
        <v>45776</v>
      </c>
      <c r="N563" t="str">
        <v/>
      </c>
      <c r="O563" t="str">
        <v>Yes</v>
      </c>
      <c r="P563">
        <v>32.2968566</v>
      </c>
      <c r="Q563">
        <v>-64.7801544</v>
      </c>
    </row>
    <row r="564" xml:space="preserve">
      <c r="A564" t="str">
        <v>B0357-24</v>
      </c>
      <c r="B564" t="str" xml:space="preserve">
        <v xml:space="preserve">85 North Shore Road_x000d__x000d_
Pembroke, HM13</v>
      </c>
      <c r="C564" t="str">
        <v>Permitted Development</v>
      </c>
      <c r="D564" t="str">
        <v>Complete</v>
      </c>
      <c r="E564">
        <v>45616</v>
      </c>
      <c r="F564" t="str">
        <v xml:space="preserve">Roof-mounted PV Solar System: 8 panels @ 420W/panel; 20.8 sq ft/ panel; Total system area 166.4 sq ft; Total DC Output 3.36 ; Annual Output 4,872 h; Total AC Output 2.88 </v>
      </c>
      <c r="G564">
        <v>2.88</v>
      </c>
      <c r="H564" t="str">
        <v>Residential</v>
      </c>
      <c r="I564">
        <v>45587</v>
      </c>
      <c r="J564">
        <v>45698</v>
      </c>
      <c r="K564" t="str">
        <v>Pembroke</v>
      </c>
      <c r="L564">
        <v>47442</v>
      </c>
      <c r="M564">
        <v>45694</v>
      </c>
      <c r="N564" t="str">
        <v/>
      </c>
      <c r="O564" t="str">
        <v>Yes</v>
      </c>
      <c r="P564">
        <v>32.3056388</v>
      </c>
      <c r="Q564">
        <v>-64.7878334</v>
      </c>
    </row>
    <row r="565" xml:space="preserve">
      <c r="A565" t="str">
        <v>B0377-24</v>
      </c>
      <c r="B565" t="str" xml:space="preserve">
        <v xml:space="preserve">51 Pitts Bay Road_x000d__x000d_
Pembroke, HM06</v>
      </c>
      <c r="C565" t="str">
        <v>Permitted Development</v>
      </c>
      <c r="D565" t="str">
        <v>Complete</v>
      </c>
      <c r="E565">
        <v>45616</v>
      </c>
      <c r="F565" t="str">
        <v xml:space="preserve">Roof-mounted PV Solar System: 27 panels @ 420W/panel; 20.8 sq ft/ panel; Total system area 561.6 sq ft; Total DC Output 11.34 ; Annual Output 16,443 h; Total AC Output 9.72 </v>
      </c>
      <c r="G565">
        <v>9.72</v>
      </c>
      <c r="H565" t="str">
        <v>Residential</v>
      </c>
      <c r="I565">
        <v>45604</v>
      </c>
      <c r="J565">
        <v>45852</v>
      </c>
      <c r="K565" t="str">
        <v>Pembroke</v>
      </c>
      <c r="L565">
        <v>47442</v>
      </c>
      <c r="M565">
        <v>45849</v>
      </c>
      <c r="N565" t="str">
        <v/>
      </c>
      <c r="O565" t="str">
        <v>Yes</v>
      </c>
      <c r="P565">
        <v>32.2918389</v>
      </c>
      <c r="Q565">
        <v>-64.7948361</v>
      </c>
    </row>
    <row r="566" xml:space="preserve">
      <c r="A566" t="str">
        <v>B0359-24</v>
      </c>
      <c r="B566" t="str" xml:space="preserve">
        <v xml:space="preserve">28 Point Finger Road_x000d__x000d_
Paget, DV04</v>
      </c>
      <c r="C566" t="str">
        <v>Permitted Development</v>
      </c>
      <c r="D566" t="str">
        <v>Complete</v>
      </c>
      <c r="E566">
        <v>45616</v>
      </c>
      <c r="F566" t="str" xml:space="preserve">
        <v xml:space="preserve">PV Solar System 12 panels @ 370W/Panel, 19.5 sqft/Panel, Total System Area 236 sqft, Total DC Output 4.44 ,_x000d_
Annual Output 6354 h, Total AC Output 3.78 ,</v>
      </c>
      <c r="G566">
        <v>3.78</v>
      </c>
      <c r="H566" t="str">
        <v>Commercial</v>
      </c>
      <c r="I566">
        <v>45588</v>
      </c>
      <c r="J566">
        <v>45643</v>
      </c>
      <c r="K566" t="str">
        <v>Paget</v>
      </c>
      <c r="L566">
        <v>47442</v>
      </c>
      <c r="M566">
        <v>45639</v>
      </c>
      <c r="N566" t="str">
        <v/>
      </c>
      <c r="O566" t="str">
        <v>Yes</v>
      </c>
      <c r="P566">
        <v>32.291189</v>
      </c>
      <c r="Q566">
        <v>-64.766623</v>
      </c>
    </row>
    <row r="567" xml:space="preserve">
      <c r="A567" t="str">
        <v>B0343-24</v>
      </c>
      <c r="B567" t="str" xml:space="preserve">
        <v xml:space="preserve">10 Tankfield Lane_x000d__x000d_
Paget, PG06</v>
      </c>
      <c r="C567" t="str">
        <v>Permitted Development</v>
      </c>
      <c r="D567" t="str">
        <v>Complete</v>
      </c>
      <c r="E567">
        <v>45616</v>
      </c>
      <c r="F567" t="str">
        <v xml:space="preserve">Roof-mounted PV Solar System: 16 panels @ 420W/panel; 20.8 sq ft/ panel; Total system area 332.8 sq ft; Total DC Output 6.72 ; Annual Output 9,744 h; Total AC Output 5.76 </v>
      </c>
      <c r="G567">
        <v>5.76</v>
      </c>
      <c r="H567" t="str">
        <v>Residential</v>
      </c>
      <c r="I567">
        <v>45576</v>
      </c>
      <c r="J567">
        <v>45698</v>
      </c>
      <c r="K567" t="str">
        <v>Paget</v>
      </c>
      <c r="L567">
        <v>47442</v>
      </c>
      <c r="M567">
        <v>45694</v>
      </c>
      <c r="N567" t="str">
        <v/>
      </c>
      <c r="O567" t="str">
        <v>Yes</v>
      </c>
      <c r="P567">
        <v>32.283678</v>
      </c>
      <c r="Q567">
        <v>-64.772568</v>
      </c>
    </row>
    <row r="568" xml:space="preserve">
      <c r="A568" t="str">
        <v>BR0041-24</v>
      </c>
      <c r="B568" t="str" xml:space="preserve">
        <v xml:space="preserve">4 Lang Lane_x000d__x000d_
St. George's, BM DD01</v>
      </c>
      <c r="C568" t="str">
        <v>Building - Residential</v>
      </c>
      <c r="D568" t="str">
        <v>Issued</v>
      </c>
      <c r="E568">
        <v>45625</v>
      </c>
      <c r="F568" t="str">
        <v>PROPOSED NEW DETACHED HOUSE WITH TWO NEW UNITS FOR A TOTAL OF 4 UNITS WITH GARAGE AND DRIVEWAY AND BOUNDARY WALL 4'-0" HIGH STEPPED ROCK CUTS HEIGHT OF 8'-0" RETAINING WALL 10'-0". 42 SOLAR PANELS @ 350W/panel; 831.6 sq ft; Total Capacity 14.7*REVISION 1 Proposed lower Storage area</v>
      </c>
      <c r="G568">
        <v>14.7</v>
      </c>
      <c r="H568" t="str">
        <v>Building Residential</v>
      </c>
      <c r="I568">
        <v>45343</v>
      </c>
      <c r="J568" t="str">
        <v/>
      </c>
      <c r="K568" t="str">
        <v>St. George</v>
      </c>
      <c r="L568">
        <v>47451</v>
      </c>
      <c r="M568">
        <v>46014</v>
      </c>
      <c r="N568" t="str">
        <v/>
      </c>
      <c r="O568" t="str">
        <v>Yes</v>
      </c>
      <c r="P568">
        <v>32.368856</v>
      </c>
      <c r="Q568">
        <v>-64.669927</v>
      </c>
    </row>
    <row r="569" xml:space="preserve">
      <c r="A569" t="str">
        <v>BREV0402-24</v>
      </c>
      <c r="B569" t="str" xml:space="preserve">
        <v xml:space="preserve">36 Middle Road_x000d__x000d_
Devonshire, BM DV03</v>
      </c>
      <c r="C569" t="str">
        <v>Permit Revision</v>
      </c>
      <c r="D569" t="str">
        <v>Complete</v>
      </c>
      <c r="E569">
        <v>45629</v>
      </c>
      <c r="F569" t="str">
        <v>change PV module model, add 5 PV modules, Total # modules: 35 @ 440W/ module @ 23.3sqft each, System Capacity: 15.4-DC, 12.215-AC, Total area: 815sqft</v>
      </c>
      <c r="G569">
        <v>12.215</v>
      </c>
      <c r="H569" t="str">
        <v>Residential Revision</v>
      </c>
      <c r="I569">
        <v>45600</v>
      </c>
      <c r="J569">
        <v>45633</v>
      </c>
      <c r="K569" t="str">
        <v>Devonshire</v>
      </c>
      <c r="L569" t="str">
        <v/>
      </c>
      <c r="M569" t="str">
        <v/>
      </c>
      <c r="N569" t="str">
        <v/>
      </c>
      <c r="O569" t="str">
        <v>Yes</v>
      </c>
      <c r="P569">
        <v>32.295416</v>
      </c>
      <c r="Q569">
        <v>-64.76825</v>
      </c>
    </row>
    <row r="570" xml:space="preserve">
      <c r="A570" t="str">
        <v>B0389-24</v>
      </c>
      <c r="B570" t="str" xml:space="preserve">
        <v xml:space="preserve">10 Collectors Hill_x000d__x000d_
Smiths, FL05</v>
      </c>
      <c r="C570" t="str">
        <v>Permitted Development</v>
      </c>
      <c r="D570" t="str">
        <v>Complete</v>
      </c>
      <c r="E570">
        <v>45632</v>
      </c>
      <c r="F570" t="str" xml:space="preserve">
        <v xml:space="preserve">PV Solar System 18 panels @ 370W/Panel, 19.5 sqft/Panel, Total System Area 354 sqft, Total DC Output 6.66 ,_x000d_
Annual Output 7945 h, Total AC Output 6.282 ,</v>
      </c>
      <c r="G570">
        <v>6.282</v>
      </c>
      <c r="H570" t="str">
        <v>Residential</v>
      </c>
      <c r="I570">
        <v>45614</v>
      </c>
      <c r="J570">
        <v>45707</v>
      </c>
      <c r="K570" t="str">
        <v>Smiths</v>
      </c>
      <c r="L570">
        <v>47458</v>
      </c>
      <c r="M570">
        <v>45687</v>
      </c>
      <c r="N570" t="str">
        <v/>
      </c>
      <c r="O570" t="str">
        <v>Yes</v>
      </c>
      <c r="P570">
        <v>32.308037</v>
      </c>
      <c r="Q570">
        <v>-64.741357</v>
      </c>
    </row>
    <row r="571" xml:space="preserve">
      <c r="A571" t="str">
        <v>B0398-24</v>
      </c>
      <c r="B571" t="str" xml:space="preserve">
        <v xml:space="preserve">7 Park View Lane_x000d__x000d_
Devonshire, DV03</v>
      </c>
      <c r="C571" t="str">
        <v>Permitted Development</v>
      </c>
      <c r="D571" t="str">
        <v>Complete</v>
      </c>
      <c r="E571">
        <v>45632</v>
      </c>
      <c r="F571" t="str" xml:space="preserve">
        <v xml:space="preserve">Proposed Timber Pergola and PV Solar System 14 panels @ 440W/panel; _x000d__x000d_
Total system area 328sqft; _x000d__x000d_
Total DC Output 6.16; _x000d__x000d_
Annual Output 9064h; _x000d__x000d_
Total AC Output 4.89_x000d__x000d_
wall mounted battery system - 10h</v>
      </c>
      <c r="G571">
        <v>4.89</v>
      </c>
      <c r="H571" t="str">
        <v>Residential</v>
      </c>
      <c r="I571">
        <v>45617</v>
      </c>
      <c r="J571">
        <v>45784</v>
      </c>
      <c r="K571" t="str">
        <v>Devonshire</v>
      </c>
      <c r="L571">
        <v>47458</v>
      </c>
      <c r="M571">
        <v>45783</v>
      </c>
      <c r="N571" t="str">
        <v/>
      </c>
      <c r="O571" t="str">
        <v>Yes</v>
      </c>
      <c r="P571">
        <v>32.297492</v>
      </c>
      <c r="Q571">
        <v>-64.768743</v>
      </c>
    </row>
    <row r="572" xml:space="preserve">
      <c r="A572" t="str">
        <v>B0396-24</v>
      </c>
      <c r="B572" t="str" xml:space="preserve">
        <v xml:space="preserve">2 Lulworth Lane_x000d__x000d_
Pembroke, HM05</v>
      </c>
      <c r="C572" t="str">
        <v>Permitted Development</v>
      </c>
      <c r="D572" t="str">
        <v>Complete</v>
      </c>
      <c r="E572">
        <v>45632</v>
      </c>
      <c r="F572" t="str" xml:space="preserve">
        <v xml:space="preserve">Roof-mounted split PV Solar System: 46 panels @ 420W/panel; 20.8 sq ft/ panel; Total system area 956.8 sq ft; Total DC Output 19.32 ; Annual Output 28,014 h; Total AC Output 16.56 _x000d_
_x000d_
Meter 1 - 30 panels @ 420W/panel; 20.8 sq ft/ panel; Total system area 624 sq ft; Total DC Output 12.6 ; Annual Output 18,270 h; Total AC Output 10.8 _x000d_
_x000d_
Meter 2 - 16 panels @ 420W/panel; 20.8 sq ft/ panel; Total system area 332.8 sq ft; Total DC Output 6.72 ; Annual Output 9,744 h; Total AC Output 5.76 </v>
      </c>
      <c r="G572">
        <v>16.56</v>
      </c>
      <c r="H572" t="str">
        <v>Residential</v>
      </c>
      <c r="I572">
        <v>45616</v>
      </c>
      <c r="J572">
        <v>45698</v>
      </c>
      <c r="K572" t="str">
        <v>Pembroke</v>
      </c>
      <c r="L572">
        <v>47458</v>
      </c>
      <c r="M572">
        <v>45692</v>
      </c>
      <c r="N572" t="str">
        <v/>
      </c>
      <c r="O572" t="str">
        <v>Yes</v>
      </c>
      <c r="P572">
        <v>32.2931148</v>
      </c>
      <c r="Q572">
        <v>-64.8054267</v>
      </c>
    </row>
    <row r="573" xml:space="preserve">
      <c r="A573" t="str">
        <v>B0333-24</v>
      </c>
      <c r="B573" t="str" xml:space="preserve">
        <v xml:space="preserve">40 Crow Lane_x000d__x000d_
Pembroke, HM19</v>
      </c>
      <c r="C573" t="str">
        <v>Permitted Development</v>
      </c>
      <c r="D573" t="str">
        <v>Complete</v>
      </c>
      <c r="E573">
        <v>45632</v>
      </c>
      <c r="F573" t="str" xml:space="preserve">
        <v xml:space="preserve">PV Solar System 51 panels @ 370W/panel; _x000d_
19.5sqft/panel; _x000d_
Total system area 995sqft; _x000d_
Total DC Output 18.87; _x000d_
Annual Output 29217h; _x000d_
Total AC Output 14.79 * Revision 1, relocate 6 modules</v>
      </c>
      <c r="G573">
        <v>14.79</v>
      </c>
      <c r="H573" t="str">
        <v>Commercial</v>
      </c>
      <c r="I573">
        <v>45565</v>
      </c>
      <c r="J573">
        <v>45735</v>
      </c>
      <c r="K573" t="str">
        <v>Pembroke</v>
      </c>
      <c r="L573">
        <v>47458</v>
      </c>
      <c r="M573">
        <v>45722</v>
      </c>
      <c r="N573" t="str">
        <v/>
      </c>
      <c r="O573" t="str">
        <v>Yes</v>
      </c>
      <c r="P573">
        <v>32.2936656</v>
      </c>
      <c r="Q573">
        <v>-64.772988</v>
      </c>
    </row>
    <row r="574" xml:space="preserve">
      <c r="A574" t="str">
        <v>B0397-24</v>
      </c>
      <c r="B574" t="str" xml:space="preserve">
        <v xml:space="preserve">2 Fort George Drive_x000d__x000d_
Town of St. George, GE02</v>
      </c>
      <c r="C574" t="str">
        <v>Permitted Development</v>
      </c>
      <c r="D574" t="str">
        <v>Complete</v>
      </c>
      <c r="E574">
        <v>45635</v>
      </c>
      <c r="F574" t="str" xml:space="preserve">
        <v xml:space="preserve">additional PV Solar System 5 panels @ 370W/panel; _x000d_
Total system area 98sqft; _x000d_
Total DC Output 1.85; _x000d_
Total AC Output 1.45_x000d_
wall mounted battery system - 10h_x000d_
_x000d_
Total solar system DC Output: 4.68_x000d_
Total solar system AC Output: 4.06</v>
      </c>
      <c r="G574">
        <v>4.06</v>
      </c>
      <c r="H574" t="str">
        <v>Residential</v>
      </c>
      <c r="I574">
        <v>45616</v>
      </c>
      <c r="J574">
        <v>45671</v>
      </c>
      <c r="K574" t="str">
        <v>Town of St. George</v>
      </c>
      <c r="L574">
        <v>47462</v>
      </c>
      <c r="M574">
        <v>45656</v>
      </c>
      <c r="N574" t="str">
        <v/>
      </c>
      <c r="O574" t="str">
        <v>Yes</v>
      </c>
      <c r="P574">
        <v>32.379659</v>
      </c>
      <c r="Q574">
        <v>-64.682414</v>
      </c>
    </row>
    <row r="575" xml:space="preserve">
      <c r="A575" t="str">
        <v>B0408-24</v>
      </c>
      <c r="B575" t="str" xml:space="preserve">
        <v xml:space="preserve">6 Kiskadee Drive_x000d__x000d_
Hamilton, CR01</v>
      </c>
      <c r="C575" t="str">
        <v>Permitted Development</v>
      </c>
      <c r="D575" t="str">
        <v>Complete</v>
      </c>
      <c r="E575">
        <v>45635</v>
      </c>
      <c r="F575" t="str" xml:space="preserve">
        <v xml:space="preserve">PV Solar System 8 panels @370W/Panel, 19.5sqft/Panel, System Area 157sqft, DC Output 2.96 ,_x000d_
Annual Output 4557h, AC Output 2.52_x000d_
Existing System Size: 6.65 DC, 5.51 AC_x000d_
Total System Size: 9.61 DC, 7.83 AC</v>
      </c>
      <c r="G575">
        <v>9.61</v>
      </c>
      <c r="H575" t="str">
        <v>Residential</v>
      </c>
      <c r="I575">
        <v>45624</v>
      </c>
      <c r="J575">
        <v>45743</v>
      </c>
      <c r="K575" t="str">
        <v>Hamilton</v>
      </c>
      <c r="L575">
        <v>47462</v>
      </c>
      <c r="M575">
        <v>45734</v>
      </c>
      <c r="N575" t="str">
        <v/>
      </c>
      <c r="O575" t="str">
        <v>Yes</v>
      </c>
      <c r="P575">
        <v>32.334494</v>
      </c>
      <c r="Q575">
        <v>-64.734906</v>
      </c>
    </row>
    <row r="576" xml:space="preserve">
      <c r="A576" t="str">
        <v>B0427-24</v>
      </c>
      <c r="B576" t="str" xml:space="preserve">
        <v xml:space="preserve">37 Barry Road_x000d__x000d_
Town of St. George, GE04</v>
      </c>
      <c r="C576" t="str">
        <v>Permitted Development</v>
      </c>
      <c r="D576" t="str">
        <v>Complete</v>
      </c>
      <c r="E576">
        <v>45650</v>
      </c>
      <c r="F576" t="str" xml:space="preserve">
        <v xml:space="preserve">PV Solar System 28 panels @  440W/panel;_x000d_
23.4 sqft/panel;_x000d_
Total system area 655.20 sqft;_x000d_
Total DC Output 12.32 ;_x000d_
Annual Output 17091 h;_x000d_
Total AC Output 8.12 </v>
      </c>
      <c r="G576">
        <v>8.12</v>
      </c>
      <c r="H576" t="str">
        <v>Commercial</v>
      </c>
      <c r="I576">
        <v>45638</v>
      </c>
      <c r="J576">
        <v>45863</v>
      </c>
      <c r="K576" t="str">
        <v>Town of St. George</v>
      </c>
      <c r="L576">
        <v>47476</v>
      </c>
      <c r="M576">
        <v>45855</v>
      </c>
      <c r="N576" t="str">
        <v/>
      </c>
      <c r="O576" t="str">
        <v>Yes</v>
      </c>
      <c r="P576">
        <v>32.3815884</v>
      </c>
      <c r="Q576">
        <v>-64.6669631</v>
      </c>
    </row>
    <row r="577" xml:space="preserve">
      <c r="A577" t="str">
        <v>B0430-24</v>
      </c>
      <c r="B577" t="str" xml:space="preserve">
        <v xml:space="preserve">11 Turnstile Lane_x000d__x000d_
Pembroke, HM06</v>
      </c>
      <c r="C577" t="str">
        <v>Permitted Development</v>
      </c>
      <c r="D577" t="str">
        <v>Complete</v>
      </c>
      <c r="E577">
        <v>45650</v>
      </c>
      <c r="F577" t="str" xml:space="preserve">
        <v xml:space="preserve">PV Solar System 29 panels @ 370W/Panel, 19.6 sqft/Panel, Total System Area 570 sqft, Total DC Output 10.73 ,_x000d__x000d_
Annual Output 13144 h, Total AC Output 10.121 , 10 h _x000d__x000d_
Wall Mounted Battery System</v>
      </c>
      <c r="G577">
        <v>10.12</v>
      </c>
      <c r="H577" t="str">
        <v>Residential</v>
      </c>
      <c r="I577">
        <v>45644</v>
      </c>
      <c r="J577">
        <v>45699</v>
      </c>
      <c r="K577" t="str">
        <v>Pembroke</v>
      </c>
      <c r="L577">
        <v>47476</v>
      </c>
      <c r="M577">
        <v>45688</v>
      </c>
      <c r="N577" t="str">
        <v/>
      </c>
      <c r="O577" t="str">
        <v>Yes</v>
      </c>
      <c r="P577">
        <v>32.294257</v>
      </c>
      <c r="Q577">
        <v>-64.794695</v>
      </c>
    </row>
    <row r="578" xml:space="preserve">
      <c r="A578" t="str">
        <v>B0392-24</v>
      </c>
      <c r="B578" t="str" xml:space="preserve">
        <v xml:space="preserve">6 Sylvan Dell Road_x000d__x000d_
Paget, PG04</v>
      </c>
      <c r="C578" t="str">
        <v>Permitted Development</v>
      </c>
      <c r="D578" t="str">
        <v>Complete</v>
      </c>
      <c r="E578">
        <v>45650</v>
      </c>
      <c r="F578" t="str" xml:space="preserve">
        <v xml:space="preserve">PV Solar System 12 panels @ 395W/panel; 21.07 sq ft/panel; Total system area 253 sq ft;_x000d_
Total DC Output 4.74; Annual Output 7,056h; Total AC Output 4.6</v>
      </c>
      <c r="G578">
        <v>4.6</v>
      </c>
      <c r="H578" t="str">
        <v>Residential</v>
      </c>
      <c r="I578">
        <v>45615</v>
      </c>
      <c r="J578">
        <v>45805</v>
      </c>
      <c r="K578" t="str">
        <v>Paget</v>
      </c>
      <c r="L578">
        <v>47476</v>
      </c>
      <c r="M578">
        <v>45803</v>
      </c>
      <c r="N578" t="str">
        <v/>
      </c>
      <c r="O578" t="str">
        <v>Yes</v>
      </c>
      <c r="P578">
        <v>32.274754</v>
      </c>
      <c r="Q578">
        <v>-64.784855</v>
      </c>
    </row>
    <row r="579" xml:space="preserve">
      <c r="A579" t="str">
        <v>B0409-24</v>
      </c>
      <c r="B579" t="str" xml:space="preserve">
        <v xml:space="preserve">8 Mcgalls Hill Court_x000d__x000d_
Smiths, FL05</v>
      </c>
      <c r="C579" t="str">
        <v>Permitted Development</v>
      </c>
      <c r="D579" t="str">
        <v>Complete</v>
      </c>
      <c r="E579">
        <v>45650</v>
      </c>
      <c r="F579" t="str">
        <v xml:space="preserve">Roof-mounted PV Solar System: 18 panels @ 420W/panel; 20.8 sq ft/ panel; Total system area 374.4 sq ft; Total DC Output 7.56 ; Annual Output 10,962 h; Total AC Output 6.48 </v>
      </c>
      <c r="G579">
        <v>6.48</v>
      </c>
      <c r="H579" t="str">
        <v>Residential</v>
      </c>
      <c r="I579">
        <v>45625</v>
      </c>
      <c r="J579">
        <v>45849</v>
      </c>
      <c r="K579" t="str">
        <v>Smiths</v>
      </c>
      <c r="L579">
        <v>47476</v>
      </c>
      <c r="M579">
        <v>45831</v>
      </c>
      <c r="N579" t="str">
        <v/>
      </c>
      <c r="O579" t="str">
        <v>Yes</v>
      </c>
      <c r="P579">
        <v>32.310369</v>
      </c>
      <c r="Q579">
        <v>-64.736565</v>
      </c>
    </row>
    <row r="580" xml:space="preserve">
      <c r="A580" t="str">
        <v>BR0231-24</v>
      </c>
      <c r="B580" t="str" xml:space="preserve">
        <v xml:space="preserve">4 Aldie Drive_x000d__x000d_
Smiths, FL02</v>
      </c>
      <c r="C580" t="str">
        <v>Building - Residential</v>
      </c>
      <c r="D580" t="str">
        <v>Complete</v>
      </c>
      <c r="E580">
        <v>45653</v>
      </c>
      <c r="F580" t="str" xml:space="preserve">
        <v xml:space="preserve">Proposed Addition of 6 Panels to Existing PV System @ 420 W/Panel; 20.8 sq ft/Panel; Total (Added) sq ft 124.8; Total (Added) System Capacity 2.52 ; Total (Added) Annual Output 3,654 h_x000d_
_x000d_
Existing system: 30 Panels @ 380 W/Panel + 19 Panels @ 420 W/Panel; 19.8 sq ft/ Panel + 20.8 sq ft/ Panel; Total sq ft 989.2; Total system capacity 19.38; Total Annual Output 27,531 h | 2 Tesla Powerwall @ 13.5 / Powerwall; Total System Capacity 27 ; 4.48 sq ft/ Powerwall; Total sq ft 8.96_x000d_
_x000d_
Total System - 55 Panels: 1,114 sq ft; Total System Capacity 21.9 ; Total Annual Output 31,185 h | 2 Tesla Powerwall @ 13.5 / Powerwall; Total System Capacity 27 ; 4.48 sq ft/ Powerwall; Total sq ft 8.96</v>
      </c>
      <c r="G580">
        <v>21.9</v>
      </c>
      <c r="H580" t="str">
        <v>Building Residential</v>
      </c>
      <c r="I580">
        <v>45638</v>
      </c>
      <c r="J580">
        <v>45756</v>
      </c>
      <c r="K580" t="str">
        <v>Smiths</v>
      </c>
      <c r="L580">
        <v>47479</v>
      </c>
      <c r="M580">
        <v>45709</v>
      </c>
      <c r="N580" t="str">
        <v/>
      </c>
      <c r="O580" t="str">
        <v>Yes</v>
      </c>
      <c r="P580">
        <v>32.314128</v>
      </c>
      <c r="Q580">
        <v>-64.745546</v>
      </c>
    </row>
    <row r="581" xml:space="preserve">
      <c r="A581" t="str">
        <v>B0412-24</v>
      </c>
      <c r="B581" t="str" xml:space="preserve">
        <v xml:space="preserve">2 Agar's Hill_x000d__x000d_
Pembroke, HM05</v>
      </c>
      <c r="C581" t="str">
        <v>Permitted Development</v>
      </c>
      <c r="D581" t="str">
        <v>Complete</v>
      </c>
      <c r="E581">
        <v>45653</v>
      </c>
      <c r="F581" t="str" xml:space="preserve">
        <v xml:space="preserve">PV Solar System 30 panels @370W/panel; 19.5sqft/panel; Total system area 589sqft; Total DC Output 11.1; Annual Output 14350h; Total AC Output 8.7_x000d_
*add x3 solar PV modules: System Info: PV Solar System 33 panels @370W/panel; 19.5sqft/panel; Total system area 648sqft; Total DC Output 12.21; Annual Output 15768h; Total AC Output 9.57</v>
      </c>
      <c r="G581">
        <v>8.7</v>
      </c>
      <c r="H581" t="str">
        <v>Residential</v>
      </c>
      <c r="I581">
        <v>45628</v>
      </c>
      <c r="J581">
        <v>45859</v>
      </c>
      <c r="K581" t="str">
        <v>Pembroke</v>
      </c>
      <c r="L581">
        <v>47479</v>
      </c>
      <c r="M581">
        <v>45799</v>
      </c>
      <c r="N581" t="str">
        <v/>
      </c>
      <c r="O581" t="str">
        <v>Yes</v>
      </c>
      <c r="P581">
        <v>32.294947</v>
      </c>
      <c r="Q581">
        <v>-64.8042311</v>
      </c>
    </row>
    <row r="582" xml:space="preserve">
      <c r="A582" t="str">
        <v>B0437-24</v>
      </c>
      <c r="B582" t="str" xml:space="preserve">
        <v xml:space="preserve">26 Turk's Head Lane_x000d__x000d_
Devonshire, DV07</v>
      </c>
      <c r="C582" t="str">
        <v>Permitted Development</v>
      </c>
      <c r="D582" t="str">
        <v>Complete</v>
      </c>
      <c r="E582">
        <v>45664</v>
      </c>
      <c r="F582" t="str" xml:space="preserve">
        <v xml:space="preserve">PV Solar System 16 panels @ 440W/Panel, 23.4 sqft/Panel, Total System Area 375sqft, Total DC Output 7.04,_x000d_
Annual Output 10518 h, Total AC Output 4.64</v>
      </c>
      <c r="G582">
        <v>4.64</v>
      </c>
      <c r="H582" t="str">
        <v>Residential</v>
      </c>
      <c r="I582">
        <v>45653</v>
      </c>
      <c r="J582">
        <v>45719</v>
      </c>
      <c r="K582" t="str">
        <v>Devonshire</v>
      </c>
      <c r="L582">
        <v>47490</v>
      </c>
      <c r="M582">
        <v>45709</v>
      </c>
      <c r="N582" t="str">
        <v/>
      </c>
      <c r="O582" t="str">
        <v>Yes</v>
      </c>
      <c r="P582">
        <v>32.2976412</v>
      </c>
      <c r="Q582">
        <v>-64.754987</v>
      </c>
    </row>
    <row r="583" xml:space="preserve">
      <c r="A583" t="str">
        <v>BC0121-24</v>
      </c>
      <c r="B583" t="str" xml:space="preserve">
        <v xml:space="preserve">11 North Street_x000d__x000d_
City of Hamilton, BM HM17</v>
      </c>
      <c r="C583" t="str">
        <v>Building - Commercial</v>
      </c>
      <c r="D583" t="str">
        <v>Issue Certificate</v>
      </c>
      <c r="E583">
        <v>45678</v>
      </c>
      <c r="F583" t="str" xml:space="preserve">
        <v xml:space="preserve">Proposed Installation of PV Solar Panels on Roof (376 panels @ 400 W/panel; 19.04 sq ft/ panel; Total system area 7,158.47 sq ft; Total DC _x000d_
Output 72.76 ; Annual Output 94,157 h; Total AC Output 60,390 )</v>
      </c>
      <c r="G583">
        <v>60.39</v>
      </c>
      <c r="H583" t="str">
        <v>Building Commercial</v>
      </c>
      <c r="I583">
        <v>45589</v>
      </c>
      <c r="J583" t="str">
        <v/>
      </c>
      <c r="K583" t="str">
        <v>Bermuda</v>
      </c>
      <c r="L583">
        <v>47504</v>
      </c>
      <c r="M583">
        <v>45965</v>
      </c>
      <c r="N583" t="str">
        <v/>
      </c>
      <c r="O583" t="str">
        <v>Yes</v>
      </c>
      <c r="P583">
        <v>32.299235</v>
      </c>
      <c r="Q583">
        <v>-64.781495</v>
      </c>
    </row>
    <row r="584" xml:space="preserve">
      <c r="A584" t="str">
        <v>B0432-24</v>
      </c>
      <c r="B584" t="str" xml:space="preserve">
        <v xml:space="preserve">84 The Glebe Road_x000d__x000d_
Devonshire, DV01</v>
      </c>
      <c r="C584" t="str">
        <v>Permitted Development</v>
      </c>
      <c r="D584" t="str">
        <v>Complete</v>
      </c>
      <c r="E584">
        <v>45680</v>
      </c>
      <c r="F584" t="str" xml:space="preserve">
        <v xml:space="preserve">3x Solar PV Systems_x000d__x000d_
(4 North Shore Road, Devonshire) _x000d__x000d_
Main House PV Solar System: 14 panels @ 370W/panel; Total system area 274sqft; Total DC Output 5.18; Total AC Output 4.06; wall mounted battery system - 10h_x000d__x000d_
(84 The Glebe Road, Devonshire)_x000d__x000d_
Unit 1 PV Solar System: 4 panels @ 370W/panel; Total system area 78sqft; Total DC Output 1.48; Total AC Output 1.16_x000d__x000d_
(84 The Glebe Road, Devonshire)_x000d__x000d_
Unit 2 PV Solar System: 5 panels @ 370W/panel; Total system area 98sqft; Total DC Output 1.85; Total AC Output 1.45</v>
      </c>
      <c r="G584">
        <v>4.06</v>
      </c>
      <c r="H584" t="str">
        <v>Residential</v>
      </c>
      <c r="I584">
        <v>45644</v>
      </c>
      <c r="J584">
        <v>45713</v>
      </c>
      <c r="K584" t="str">
        <v>Devonshire</v>
      </c>
      <c r="L584">
        <v>47506</v>
      </c>
      <c r="M584">
        <v>45709</v>
      </c>
      <c r="N584" t="str">
        <v/>
      </c>
      <c r="O584" t="str">
        <v>Yes</v>
      </c>
      <c r="P584">
        <v>32.3069668</v>
      </c>
      <c r="Q584">
        <v>-64.7749029</v>
      </c>
    </row>
    <row r="585" xml:space="preserve">
      <c r="A585" t="str">
        <v>B0440-24</v>
      </c>
      <c r="B585" t="str" xml:space="preserve">
        <v xml:space="preserve">6 Peppercorn Lane_x000d__x000d_
Southampton, SN04</v>
      </c>
      <c r="C585" t="str">
        <v>Permitted Development</v>
      </c>
      <c r="D585" t="str">
        <v>Complete</v>
      </c>
      <c r="E585">
        <v>45687</v>
      </c>
      <c r="F585" t="str" xml:space="preserve">
        <v xml:space="preserve">PV Solar System 15 panels @ 370W/Panel, 19.6 sqft/Panel, Total System Area 295 sqft, Total DC Output 5.55 ,_x000d_
Annual Output 6853 h, Total AC Output 5.235 ,</v>
      </c>
      <c r="G585">
        <v>5.235</v>
      </c>
      <c r="H585" t="str">
        <v>Residential</v>
      </c>
      <c r="I585">
        <v>45653</v>
      </c>
      <c r="J585">
        <v>45743</v>
      </c>
      <c r="K585" t="str">
        <v>Southampton</v>
      </c>
      <c r="L585">
        <v>47513</v>
      </c>
      <c r="M585">
        <v>45719</v>
      </c>
      <c r="N585" t="str">
        <v/>
      </c>
      <c r="O585" t="str">
        <v>Yes</v>
      </c>
      <c r="P585">
        <v>32.25866</v>
      </c>
      <c r="Q585">
        <v>-64.827887</v>
      </c>
    </row>
    <row r="586" xml:space="preserve">
      <c r="A586" t="str">
        <v>B0002-25</v>
      </c>
      <c r="B586" t="str" xml:space="preserve">
        <v xml:space="preserve">5 Long Lane_x000d__x000d_
Hamilton, HS02</v>
      </c>
      <c r="C586" t="str">
        <v>Permitted Development</v>
      </c>
      <c r="D586" t="str">
        <v>Complete</v>
      </c>
      <c r="E586">
        <v>45687</v>
      </c>
      <c r="F586" t="str" xml:space="preserve">
        <v xml:space="preserve">PV Solar System 38 panels @ 370W/Panel, 19.6 sqft/Panel, Total System Area 746 sqft, Total DC Output 14.06 ,_x000d_
Annual Output 20144 h, Total AC Output 13.262 _x000d_
20h wall mounted battery system</v>
      </c>
      <c r="G586">
        <v>13.262</v>
      </c>
      <c r="H586" t="str">
        <v>Residential</v>
      </c>
      <c r="I586">
        <v>45660</v>
      </c>
      <c r="J586">
        <v>45965</v>
      </c>
      <c r="K586" t="str">
        <v>Hamilton</v>
      </c>
      <c r="L586">
        <v>47513</v>
      </c>
      <c r="M586">
        <v>45958</v>
      </c>
      <c r="N586" t="str">
        <v/>
      </c>
      <c r="O586" t="str">
        <v>Yes</v>
      </c>
      <c r="P586">
        <v>32.3304207</v>
      </c>
      <c r="Q586">
        <v>-64.6999353</v>
      </c>
    </row>
    <row r="587" xml:space="preserve">
      <c r="A587" t="str">
        <v>B0007-25</v>
      </c>
      <c r="B587" t="str" xml:space="preserve">
        <v xml:space="preserve">1 BFA Way_x000d__x000d_
Devonshire, DV02</v>
      </c>
      <c r="C587" t="str">
        <v>Permitted Development</v>
      </c>
      <c r="D587" t="str">
        <v>Complete</v>
      </c>
      <c r="E587">
        <v>45688</v>
      </c>
      <c r="F587" t="str" xml:space="preserve">
        <v xml:space="preserve">PV Solar System 20 panels @ 430W/Panel, 23.4 sqft/Panel, Total System Area 467 sqft, Total DC Output 8.6 ,_x000d_
Annual Output 11407 h, Total AC Output 6.3 ,</v>
      </c>
      <c r="G587">
        <v>6.3</v>
      </c>
      <c r="H587" t="str">
        <v>Commercial</v>
      </c>
      <c r="I587">
        <v>45667</v>
      </c>
      <c r="J587">
        <v>45743</v>
      </c>
      <c r="K587" t="str">
        <v>Devonshire</v>
      </c>
      <c r="L587">
        <v>47514</v>
      </c>
      <c r="M587">
        <v>45722</v>
      </c>
      <c r="N587" t="str">
        <v/>
      </c>
      <c r="O587" t="str">
        <v>Yes</v>
      </c>
      <c r="P587">
        <v>32.301</v>
      </c>
      <c r="Q587">
        <v>-64.768808</v>
      </c>
    </row>
    <row r="588" xml:space="preserve">
      <c r="A588" t="str">
        <v>B0006-25</v>
      </c>
      <c r="B588" t="str" xml:space="preserve">
        <v xml:space="preserve">19 Sunrise Drive_x000d__x000d_
Hamilton, CR04</v>
      </c>
      <c r="C588" t="str">
        <v>Permitted Development</v>
      </c>
      <c r="D588" t="str">
        <v>Complete</v>
      </c>
      <c r="E588">
        <v>45701</v>
      </c>
      <c r="F588" t="str">
        <v xml:space="preserve">Roof-mounted PV Solar System: 12 panels @ 420W/panel; 20.8 sq ft/ panel; Total system area 249.6 sq ft; Total DC Output 5.04 ; Annual Output 7,308 h; Total AC Output 4.32 </v>
      </c>
      <c r="G588">
        <v>4.32</v>
      </c>
      <c r="H588" t="str">
        <v>Residential</v>
      </c>
      <c r="I588">
        <v>45666</v>
      </c>
      <c r="J588">
        <v>45778</v>
      </c>
      <c r="K588" t="str">
        <v>Hamilton</v>
      </c>
      <c r="L588">
        <v>47527</v>
      </c>
      <c r="M588">
        <v>45743</v>
      </c>
      <c r="N588" t="str">
        <v/>
      </c>
      <c r="O588" t="str">
        <v>Yes</v>
      </c>
      <c r="P588">
        <v>32.3465046</v>
      </c>
      <c r="Q588">
        <v>-64.7167268</v>
      </c>
    </row>
    <row r="589" xml:space="preserve">
      <c r="A589" t="str">
        <v>BC0022-25</v>
      </c>
      <c r="B589" t="str" xml:space="preserve">
        <v xml:space="preserve">61 Pitts Bay Road_x000d__x000d_
Pembroke, HM08</v>
      </c>
      <c r="C589" t="str">
        <v>Building - Commercial</v>
      </c>
      <c r="D589" t="str">
        <v>Complete</v>
      </c>
      <c r="E589">
        <v>45706</v>
      </c>
      <c r="F589" t="str">
        <v>PV Solar System 84 panels @ 410W/panel; 22.1 sq ft/panel; Total system area 1852 sq ft; Total DC Output 34.5; Annual Output 51140 h; Total AC Output 33.3</v>
      </c>
      <c r="G589">
        <v>33.3</v>
      </c>
      <c r="H589" t="str">
        <v>Building Commercial</v>
      </c>
      <c r="I589">
        <v>45694</v>
      </c>
      <c r="J589">
        <v>45785</v>
      </c>
      <c r="K589" t="str">
        <v>Pembroke</v>
      </c>
      <c r="L589">
        <v>47532</v>
      </c>
      <c r="M589">
        <v>45784</v>
      </c>
      <c r="N589" t="str">
        <v/>
      </c>
      <c r="O589" t="str">
        <v>Yes</v>
      </c>
      <c r="P589">
        <v>32.2915425</v>
      </c>
      <c r="Q589">
        <v>-64.7920038</v>
      </c>
    </row>
    <row r="590" xml:space="preserve">
      <c r="A590" t="str">
        <v>BREV0447-24</v>
      </c>
      <c r="B590" t="str" xml:space="preserve">
        <v xml:space="preserve">1 The Lane_x000d__x000d_
Paget, BM PG05, Bermuda</v>
      </c>
      <c r="C590" t="str">
        <v>Permit Revision</v>
      </c>
      <c r="D590" t="str">
        <v>Complete</v>
      </c>
      <c r="E590">
        <v>45707</v>
      </c>
      <c r="F590" t="str" xml:space="preserve">
        <v xml:space="preserve">Proposed Roof Mounted Solar Panels 74, 21 sq. ft. Panels (1,554 sq. ft.); 430 W per panel - 41,228hs energy/yr system output;  31.82 DC output ; 26.41 AC output, Ground Mounted 'Solar Flower' 15'9" 5 DC; 4.3  AC; 6478 h/yr Max. Height (Listed Building) (planning permission P0037-24) Building only revision*_x000d__x000d_
Total System 36.82  DC; 30.71  AC; 47,706 h/yr</v>
      </c>
      <c r="G590">
        <v>26.41</v>
      </c>
      <c r="H590" t="str">
        <v>Commercial Revision</v>
      </c>
      <c r="I590">
        <v>45637</v>
      </c>
      <c r="J590">
        <v>45796</v>
      </c>
      <c r="K590" t="str">
        <v>Paget</v>
      </c>
      <c r="L590" t="str">
        <v/>
      </c>
      <c r="M590" t="str">
        <v/>
      </c>
      <c r="N590" t="str">
        <v/>
      </c>
      <c r="O590" t="str">
        <v>Yes</v>
      </c>
      <c r="P590">
        <v>32.2899995</v>
      </c>
      <c r="Q590">
        <v>-64.7716785</v>
      </c>
    </row>
    <row r="591" xml:space="preserve">
      <c r="A591" t="str">
        <v>B0028-25</v>
      </c>
      <c r="B591" t="str" xml:space="preserve">
        <v xml:space="preserve">6 Cross Bay Road_x000d__x000d_
Southampton, SN02</v>
      </c>
      <c r="C591" t="str">
        <v>Permitted Development</v>
      </c>
      <c r="D591" t="str">
        <v>Complete</v>
      </c>
      <c r="E591">
        <v>45708</v>
      </c>
      <c r="F591" t="str" xml:space="preserve">
        <v xml:space="preserve">PV Solar System 13 panels @ 370W/Panel, 19.6sqft/Panel, Total System Area 255 sqft, Total DC Output 4.81,_x000d_
Annual Output 7283h, Total AC Output 3.77,</v>
      </c>
      <c r="G591">
        <v>3.77</v>
      </c>
      <c r="H591" t="str">
        <v>Residential</v>
      </c>
      <c r="I591">
        <v>45686</v>
      </c>
      <c r="J591">
        <v>45743</v>
      </c>
      <c r="K591" t="str">
        <v>Southampton</v>
      </c>
      <c r="L591">
        <v>47534</v>
      </c>
      <c r="M591">
        <v>45733</v>
      </c>
      <c r="N591" t="str">
        <v/>
      </c>
      <c r="O591" t="str">
        <v>Yes</v>
      </c>
      <c r="P591">
        <v>32.249624</v>
      </c>
      <c r="Q591">
        <v>-64.830499</v>
      </c>
    </row>
    <row r="592" xml:space="preserve">
      <c r="A592" t="str">
        <v>B0014-25</v>
      </c>
      <c r="B592" t="str" xml:space="preserve">
        <v xml:space="preserve">22A Cedar Heights Lane_x000d__x000d_
Warwick, WK05</v>
      </c>
      <c r="C592" t="str">
        <v>Permitted Development</v>
      </c>
      <c r="D592" t="str">
        <v>Complete</v>
      </c>
      <c r="E592">
        <v>45713</v>
      </c>
      <c r="F592" t="str" xml:space="preserve">
        <v xml:space="preserve">Roof-mounted Solar PV System: 19 Panels @ 420 W/Panel (14) and 220 W/Panel (5); 20 sq ft/Panel; Total sq ft 391.2; Total DC Output 6.98 ; Annual Output 9,626 h;_x000d_
_x000d_
*Note: Two Different Models of Solar Panels Will Be Used to Make Up This System</v>
      </c>
      <c r="G592">
        <v>6.98</v>
      </c>
      <c r="H592" t="str">
        <v>Residential</v>
      </c>
      <c r="I592">
        <v>45674</v>
      </c>
      <c r="J592">
        <v>45825</v>
      </c>
      <c r="K592" t="str">
        <v>Warwick</v>
      </c>
      <c r="L592">
        <v>47539</v>
      </c>
      <c r="M592">
        <v>45798</v>
      </c>
      <c r="N592" t="str">
        <v/>
      </c>
      <c r="O592" t="str">
        <v>Yes</v>
      </c>
      <c r="P592">
        <v>32.2687946</v>
      </c>
      <c r="Q592">
        <v>-64.8068447</v>
      </c>
    </row>
    <row r="593" xml:space="preserve">
      <c r="A593" t="str">
        <v>BREV0020-25</v>
      </c>
      <c r="B593" t="str" xml:space="preserve">
        <v xml:space="preserve">7 Grasmere Road_x000d__x000d_
Pembroke, HM05</v>
      </c>
      <c r="C593" t="str">
        <v>Permit Revision</v>
      </c>
      <c r="D593" t="str">
        <v>Complete</v>
      </c>
      <c r="E593">
        <v>45720</v>
      </c>
      <c r="F593" t="str" xml:space="preserve">
        <v xml:space="preserve">Ground Mounted System add 3 PV modules, change model of PV modules, extend wall_x000d_
36x440W modules = 15.84 DC, 12.564 AC</v>
      </c>
      <c r="G593">
        <v>12.564</v>
      </c>
      <c r="H593" t="str">
        <v>Residential Revision</v>
      </c>
      <c r="I593">
        <v>45685</v>
      </c>
      <c r="J593">
        <v>45726</v>
      </c>
      <c r="K593" t="str">
        <v>Pembroke</v>
      </c>
      <c r="L593" t="str">
        <v/>
      </c>
      <c r="M593" t="str">
        <v/>
      </c>
      <c r="N593" t="str">
        <v/>
      </c>
      <c r="O593" t="str">
        <v>Yes</v>
      </c>
      <c r="P593">
        <v>32.300798</v>
      </c>
      <c r="Q593">
        <v>-64.807608</v>
      </c>
    </row>
    <row r="594" xml:space="preserve">
      <c r="A594" t="str">
        <v>B0026-25</v>
      </c>
      <c r="B594" t="str" xml:space="preserve">
        <v xml:space="preserve">10 Manor Hill_x000d__x000d_
Warwick, PG01</v>
      </c>
      <c r="C594" t="str">
        <v>Permitted Development</v>
      </c>
      <c r="D594" t="str">
        <v>Complete</v>
      </c>
      <c r="E594">
        <v>45722</v>
      </c>
      <c r="F594" t="str" xml:space="preserve">
        <v xml:space="preserve">Proposed Addition: 5 Panels Added to Existing PV System @ 420 W/Panel; 20.8 sq ft/Panel; Total (Added) sq ft 104 Total (Added) System Capacity 2.1 ; Total (Added) Annual Output 3,045 h_x000d_
_x000d_
Existing system: 20 Panels @ 365 W/Panel; 18.83 sq ft/ Panel; Total sq ft 376.6; Total system capacity 7.3; Total Annual Output 13,140 h_x000d_
_x000d_
Total System: 480.6 sq ft; Total System Capacity 9.4; Total Annual Output 16,185 h</v>
      </c>
      <c r="G594">
        <v>9.4</v>
      </c>
      <c r="H594" t="str">
        <v>Residential</v>
      </c>
      <c r="I594">
        <v>45684</v>
      </c>
      <c r="J594">
        <v>45804</v>
      </c>
      <c r="K594" t="str">
        <v>Warwick</v>
      </c>
      <c r="L594">
        <v>47548</v>
      </c>
      <c r="M594">
        <v>45792</v>
      </c>
      <c r="N594" t="str">
        <v/>
      </c>
      <c r="O594" t="str">
        <v>Yes</v>
      </c>
      <c r="P594">
        <v>32.2777809</v>
      </c>
      <c r="Q594">
        <v>-64.7942622</v>
      </c>
    </row>
    <row r="595" xml:space="preserve">
      <c r="A595" t="str">
        <v>B0032-25</v>
      </c>
      <c r="B595" t="str" xml:space="preserve">
        <v xml:space="preserve">3 Undina Watch_x000d__x000d_
Southampton, SN02</v>
      </c>
      <c r="C595" t="str">
        <v>Permitted Development</v>
      </c>
      <c r="D595" t="str">
        <v>Complete</v>
      </c>
      <c r="E595">
        <v>45730</v>
      </c>
      <c r="F595" t="str">
        <v>Additional PV Solar System, 21 panels @ 395W/panel; 21.07 sq ft/panel; Total Additional system area 443 sq ft; Total DC Output 8.3; Annual Output 11,830 h; Total AC Output 8.13; With 48h DC Coupled Battery Storage Existing PV Solar System, 32 AC Panels @350W/panel; 17.34 sq ft/panel; Total Existing system area 555 sq ft; Total DC Output 11.2; Annual Output 15,500 h; Total AC Output 10.08 Complete Expanded System: Total area 998 sq ft; Total DC Output 19.33; Annual Output 27,330 h; Total AC Output 18.21; Energy storage system total power rating 30; Energy storage capacity 48h DC Coupled Battery Storage</v>
      </c>
      <c r="G595">
        <v>8.13</v>
      </c>
      <c r="H595" t="str">
        <v>Residential</v>
      </c>
      <c r="I595">
        <v>45693</v>
      </c>
      <c r="J595">
        <v>45839</v>
      </c>
      <c r="K595" t="str">
        <v>Southampton</v>
      </c>
      <c r="L595">
        <v>47556</v>
      </c>
      <c r="M595">
        <v>45833</v>
      </c>
      <c r="N595" t="str">
        <v/>
      </c>
      <c r="O595" t="str">
        <v>Yes</v>
      </c>
      <c r="P595">
        <v>32.2537229</v>
      </c>
      <c r="Q595">
        <v>-64.8351824</v>
      </c>
    </row>
    <row r="596" xml:space="preserve">
      <c r="A596" t="str">
        <v>B0372-24</v>
      </c>
      <c r="B596" t="str" xml:space="preserve">
        <v xml:space="preserve">15 Wilderness Lane_x000d__x000d_
Smiths, FL06</v>
      </c>
      <c r="C596" t="str">
        <v>Permitted Development</v>
      </c>
      <c r="D596" t="str">
        <v>Complete</v>
      </c>
      <c r="E596">
        <v>45730</v>
      </c>
      <c r="F596" t="str">
        <v>Proposed roof mounted solar panels (28) @430W/panel  total ; 588sq ft Total, Total system Output 15,600hs ; DC Output ? 12.04 ; AC Output ? 10.35</v>
      </c>
      <c r="G596">
        <v>10.35</v>
      </c>
      <c r="H596" t="str">
        <v>Residential</v>
      </c>
      <c r="I596">
        <v>45602</v>
      </c>
      <c r="J596">
        <v>45839</v>
      </c>
      <c r="K596" t="str">
        <v>Smiths</v>
      </c>
      <c r="L596">
        <v>47556</v>
      </c>
      <c r="M596">
        <v>45769</v>
      </c>
      <c r="N596" t="str">
        <v/>
      </c>
      <c r="O596" t="str">
        <v>Yes</v>
      </c>
      <c r="P596">
        <v>32.315817</v>
      </c>
      <c r="Q596">
        <v>-64.730257</v>
      </c>
    </row>
    <row r="597" xml:space="preserve">
      <c r="A597" t="str">
        <v>B0373-24</v>
      </c>
      <c r="B597" t="str" xml:space="preserve">
        <v xml:space="preserve">5 Devon Heights Close_x000d__x000d_
Devonshire, DV08</v>
      </c>
      <c r="C597" t="str">
        <v>Permitted Development</v>
      </c>
      <c r="D597" t="str">
        <v>Issued</v>
      </c>
      <c r="E597">
        <v>45730</v>
      </c>
      <c r="F597" t="str" xml:space="preserve">
        <v xml:space="preserve">Proposed roof mounted solar panels (46) total ; 966 sq ft total;  Total system Output 25,628hs_x000d__x000d_
DC Output ? 19.78_x000d__x000d_
AC Output ? 17.01</v>
      </c>
      <c r="G597">
        <v>17.01</v>
      </c>
      <c r="H597" t="str">
        <v>Residential</v>
      </c>
      <c r="I597">
        <v>45602</v>
      </c>
      <c r="J597" t="str">
        <v/>
      </c>
      <c r="K597" t="str">
        <v>Devonshire</v>
      </c>
      <c r="L597">
        <v>47556</v>
      </c>
      <c r="M597">
        <v>45734</v>
      </c>
      <c r="N597" t="str">
        <v/>
      </c>
      <c r="O597" t="str">
        <v>Yes</v>
      </c>
      <c r="P597">
        <v>32.303933</v>
      </c>
      <c r="Q597">
        <v>-64.747048</v>
      </c>
    </row>
    <row r="598" xml:space="preserve">
      <c r="A598" t="str">
        <v>B0009-25</v>
      </c>
      <c r="B598" t="str" xml:space="preserve">
        <v xml:space="preserve">9 Cavello Heights_x000d__x000d_
Sandys, MA05</v>
      </c>
      <c r="C598" t="str">
        <v>Permitted Development</v>
      </c>
      <c r="D598" t="str">
        <v>Complete</v>
      </c>
      <c r="E598">
        <v>45733</v>
      </c>
      <c r="F598" t="str" xml:space="preserve">
        <v xml:space="preserve">Additional 6 panels @ 370W/panel; Total Area 188.2 sq ft; Total DC output 2.2 ; Annual Output 5.030_x000d_
h; Total AC Output 2.2 _x000d_
System Total 26 panels, 8.52.  Total Area 538.2 sq ft; Total DC output 8.52  ; Annual Output 19,390 h; _x000d_
Total AC Output 14,113h_x000d_
2 10h Battery, 1 Backup Interface</v>
      </c>
      <c r="G598">
        <v>14.11</v>
      </c>
      <c r="H598" t="str">
        <v>Residential</v>
      </c>
      <c r="I598">
        <v>45671</v>
      </c>
      <c r="J598">
        <v>45958</v>
      </c>
      <c r="K598" t="str">
        <v>Sandys</v>
      </c>
      <c r="L598">
        <v>47560</v>
      </c>
      <c r="M598">
        <v>45944</v>
      </c>
      <c r="N598" t="str">
        <v/>
      </c>
      <c r="O598" t="str">
        <v>Yes</v>
      </c>
      <c r="P598">
        <v>32.297044</v>
      </c>
      <c r="Q598">
        <v>-64.863524</v>
      </c>
    </row>
    <row r="599" xml:space="preserve">
      <c r="A599" t="str">
        <v>B0059-25</v>
      </c>
      <c r="B599" t="str" xml:space="preserve">
        <v xml:space="preserve">49 Paynters Hill_x000d__x000d_
St. George's, HS02</v>
      </c>
      <c r="C599" t="str">
        <v>Permitted Development</v>
      </c>
      <c r="D599" t="str">
        <v>Complete</v>
      </c>
      <c r="E599">
        <v>45736</v>
      </c>
      <c r="F599" t="str" xml:space="preserve">
        <v xml:space="preserve">New roof mounted Solar PV System 13 panels @ 370W/Panel, 19.6 sqft/Panel, New System Area 255 sqft, New DC Output 4.81, AC Output 6.18,_x000d_
Annual Output 7452h, _x000d_
_x000d_
Existing PV System: DC Output 10.22, AC Output 13.3, Annual Output 13862h, _x000d_
_x000d_
Total PV System: DC Output_x000d_
15.03, AC Output 19.48, Total Annual Output 21314h</v>
      </c>
      <c r="G599">
        <v>19.48</v>
      </c>
      <c r="H599" t="str">
        <v>Residential</v>
      </c>
      <c r="I599">
        <v>45719</v>
      </c>
      <c r="J599">
        <v>45867</v>
      </c>
      <c r="K599" t="str">
        <v>Hamilton</v>
      </c>
      <c r="L599">
        <v>47562</v>
      </c>
      <c r="M599">
        <v>45848</v>
      </c>
      <c r="N599" t="str">
        <v/>
      </c>
      <c r="O599" t="str">
        <v>Yes</v>
      </c>
      <c r="P599">
        <v>32.297044</v>
      </c>
      <c r="Q599">
        <v>-64.863524</v>
      </c>
    </row>
    <row r="600" xml:space="preserve">
      <c r="A600" t="str">
        <v>BR0045-25</v>
      </c>
      <c r="B600" t="str" xml:space="preserve">
        <v xml:space="preserve">54 Ord Road_x000d__x000d_
Paget, PG03</v>
      </c>
      <c r="C600" t="str">
        <v>Building - Residential</v>
      </c>
      <c r="D600" t="str">
        <v>Complete</v>
      </c>
      <c r="E600">
        <v>45736</v>
      </c>
      <c r="F600" t="str" xml:space="preserve">
        <v xml:space="preserve">roof mounted Solar PV System 18 panels @ 370W/Panel, 19.6 sqft/Panel, Total System Area 354 sqft, Total DC Output 6.66 ,_x000d_
Annual Output 9564 h, Total AC Output 6.282 ,</v>
      </c>
      <c r="G600">
        <v>6.282</v>
      </c>
      <c r="H600" t="str">
        <v>Building Residential</v>
      </c>
      <c r="I600">
        <v>45715</v>
      </c>
      <c r="J600">
        <v>45755</v>
      </c>
      <c r="K600" t="str">
        <v>Paget</v>
      </c>
      <c r="L600">
        <v>47562</v>
      </c>
      <c r="M600">
        <v>45750</v>
      </c>
      <c r="N600" t="str">
        <v/>
      </c>
      <c r="O600" t="str">
        <v>Yes</v>
      </c>
      <c r="P600">
        <v>32.2776505</v>
      </c>
      <c r="Q600">
        <v>-64.781677</v>
      </c>
    </row>
    <row r="601" xml:space="preserve">
      <c r="A601" t="str">
        <v>B0374-24</v>
      </c>
      <c r="B601" t="str" xml:space="preserve">
        <v xml:space="preserve">19 Devon Heights Road_x000d__x000d_
Devonshire, DV08</v>
      </c>
      <c r="C601" t="str">
        <v>Permitted Development</v>
      </c>
      <c r="D601" t="str">
        <v>Issued</v>
      </c>
      <c r="E601">
        <v>45736</v>
      </c>
      <c r="F601" t="str" xml:space="preserve">
        <v xml:space="preserve">Proposed roof mounted solar panels (36) total ; 756 sq ft total ; _x000d__x000d_
Total system Output ? 20,057hs_x000d__x000d_
DC Output ? 15.48_x000d__x000d_
AC Output ? 13.31</v>
      </c>
      <c r="G601">
        <v>13.31</v>
      </c>
      <c r="H601" t="str">
        <v>Residential</v>
      </c>
      <c r="I601">
        <v>45602</v>
      </c>
      <c r="J601" t="str">
        <v/>
      </c>
      <c r="K601" t="str">
        <v>Devonshire</v>
      </c>
      <c r="L601">
        <v>47562</v>
      </c>
      <c r="M601" t="str">
        <v/>
      </c>
      <c r="N601" t="str">
        <v/>
      </c>
      <c r="O601" t="str">
        <v>Yes</v>
      </c>
      <c r="P601">
        <v>32.303992</v>
      </c>
      <c r="Q601">
        <v>-64.746425</v>
      </c>
    </row>
    <row r="602" xml:space="preserve">
      <c r="A602" t="str">
        <v>B0068-25</v>
      </c>
      <c r="B602" t="str" xml:space="preserve">
        <v xml:space="preserve">19 Harvey Road_x000d__x000d_
Paget, PG04</v>
      </c>
      <c r="C602" t="str">
        <v>Permitted Development</v>
      </c>
      <c r="D602" t="str">
        <v>Complete</v>
      </c>
      <c r="E602">
        <v>45736</v>
      </c>
      <c r="F602" t="str">
        <v xml:space="preserve">Roof-mounted PV Solar System: 10 panels @ 450W/panel; 22.4 sq ft/ panel; Total system area 224 sq ft; Total DC Output 4.5 ; Annual Output 6,525 h; Total AC Output 3.6 </v>
      </c>
      <c r="G602">
        <v>3.6</v>
      </c>
      <c r="H602" t="str">
        <v>Residential</v>
      </c>
      <c r="I602">
        <v>45723</v>
      </c>
      <c r="J602">
        <v>45825</v>
      </c>
      <c r="K602" t="str">
        <v>Paget</v>
      </c>
      <c r="L602">
        <v>47562</v>
      </c>
      <c r="M602">
        <v>45813</v>
      </c>
      <c r="N602" t="str">
        <v/>
      </c>
      <c r="O602" t="str">
        <v>Yes</v>
      </c>
      <c r="P602">
        <v>32.272609</v>
      </c>
      <c r="Q602">
        <v>-64.787361</v>
      </c>
    </row>
    <row r="603" xml:space="preserve">
      <c r="A603" t="str">
        <v>B0052-25</v>
      </c>
      <c r="B603" t="str" xml:space="preserve">
        <v xml:space="preserve">1 Constable Close_x000d__x000d_
Southampton, SB04</v>
      </c>
      <c r="C603" t="str">
        <v>Permitted Development</v>
      </c>
      <c r="D603" t="str">
        <v>Complete</v>
      </c>
      <c r="E603">
        <v>45736</v>
      </c>
      <c r="F603" t="str" xml:space="preserve">
        <v xml:space="preserve">New PV Solar System 5 panels @ 370W/Panel, 19.6 sqft/Panel, New System Area 98 sqft, New DC Output 1.85, AC Output 1.58, Annual_x000d_
Output 2717h, _x000d_
_x000d_
Existing PV System: DC Output 3.5, AC Output 3.15, Annual Output 4200h, _x000d_
_x000d_
Total PV System: DC Output 5.35, AC Output 4.73, Total Annual Output 6917h</v>
      </c>
      <c r="G603">
        <v>4.73</v>
      </c>
      <c r="H603" t="str">
        <v>Residential</v>
      </c>
      <c r="I603">
        <v>45713</v>
      </c>
      <c r="J603">
        <v>45881</v>
      </c>
      <c r="K603" t="str">
        <v>Southampton</v>
      </c>
      <c r="L603">
        <v>47562</v>
      </c>
      <c r="M603">
        <v>45880</v>
      </c>
      <c r="N603" t="str">
        <v/>
      </c>
      <c r="O603" t="str">
        <v>Yes</v>
      </c>
      <c r="P603">
        <v>32.252999</v>
      </c>
      <c r="Q603">
        <v>-64.868366</v>
      </c>
    </row>
    <row r="604" xml:space="preserve">
      <c r="A604" t="str">
        <v>BC0146-24</v>
      </c>
      <c r="B604" t="str" xml:space="preserve">
        <v xml:space="preserve">43 Victoria Street_x000d__x000d_
City of Hamilton, HM12</v>
      </c>
      <c r="C604" t="str">
        <v>Building - Commercial</v>
      </c>
      <c r="D604" t="str">
        <v>Issued</v>
      </c>
      <c r="E604">
        <v>45748</v>
      </c>
      <c r="F604" t="str" xml:space="preserve">
        <v xml:space="preserve">Addition of Roof Mounted Solar PV System. 173 410w Modules. Total_x000d_
Wattage DC, 70.93. Module area, 19.9sf. Total Area, 3,445.58sf. Estimated_x000d_
Annual Yield, 98,290h AC wattage 60</v>
      </c>
      <c r="G604">
        <v>60</v>
      </c>
      <c r="H604" t="str">
        <v>Building Commercial</v>
      </c>
      <c r="I604">
        <v>45648</v>
      </c>
      <c r="J604" t="str">
        <v/>
      </c>
      <c r="K604" t="str">
        <v>City of Hamilton</v>
      </c>
      <c r="L604">
        <v>47574</v>
      </c>
      <c r="M604">
        <v>45750</v>
      </c>
      <c r="N604" t="str">
        <v/>
      </c>
      <c r="O604" t="str">
        <v>Yes</v>
      </c>
      <c r="P604">
        <v>32.2950891</v>
      </c>
      <c r="Q604">
        <v>-64.7818503</v>
      </c>
    </row>
    <row r="605" xml:space="preserve">
      <c r="A605" t="str">
        <v>B0413-24</v>
      </c>
      <c r="B605" t="str" xml:space="preserve">
        <v xml:space="preserve">4 High Knoll Lane_x000d__x000d_
Smiths, HS01</v>
      </c>
      <c r="C605" t="str">
        <v>Permitted Development</v>
      </c>
      <c r="D605" t="str">
        <v>Issued</v>
      </c>
      <c r="E605">
        <v>45749</v>
      </c>
      <c r="F605" t="str" xml:space="preserve">
        <v xml:space="preserve">Additional 6 panels @ 325W/panel; Total Area 108.24 sq ft; Total DC output 1.95 ; Annual Output 3220 h; Total AC Output 1.95 _x000d__x000d_
System Total 18 panels @ 325W/panel; Total Area 324.72 sq ft; Total DC output 5850 ; Total Annual Output 8853 h; Total AC Output 5850 </v>
      </c>
      <c r="G605">
        <v>1.95</v>
      </c>
      <c r="H605" t="str">
        <v>Residential</v>
      </c>
      <c r="I605">
        <v>45630</v>
      </c>
      <c r="J605" t="str">
        <v/>
      </c>
      <c r="K605" t="str">
        <v>Smiths</v>
      </c>
      <c r="L605">
        <v>47575</v>
      </c>
      <c r="M605">
        <v>45884</v>
      </c>
      <c r="N605" t="str">
        <v/>
      </c>
      <c r="O605" t="str">
        <v>Yes</v>
      </c>
      <c r="P605">
        <v>32.316387</v>
      </c>
      <c r="Q605">
        <v>-64.718198</v>
      </c>
    </row>
    <row r="606" xml:space="preserve">
      <c r="A606" t="str">
        <v>B0434-24</v>
      </c>
      <c r="B606" t="str" xml:space="preserve">
        <v xml:space="preserve">4 Turtle Bay Crescent_x000d__x000d_
Southampton, SN01</v>
      </c>
      <c r="C606" t="str">
        <v>Permitted Development</v>
      </c>
      <c r="D606" t="str">
        <v>Complete</v>
      </c>
      <c r="E606">
        <v>45749</v>
      </c>
      <c r="F606" t="str">
        <v xml:space="preserve">Roof-mounted PV Solar System: 23 panels @ 420W/panel; 20.8 sq ft/ panel; Total system area 478.4 sq ft; Total DC Output 9.66 ; Annual Output 14,007 h; Total AC Output 8.28 </v>
      </c>
      <c r="G606">
        <v>8.28</v>
      </c>
      <c r="H606" t="str">
        <v>Residential</v>
      </c>
      <c r="I606">
        <v>45646</v>
      </c>
      <c r="J606">
        <v>45807</v>
      </c>
      <c r="K606" t="str">
        <v>Southampton</v>
      </c>
      <c r="L606">
        <v>47575</v>
      </c>
      <c r="M606">
        <v>45806</v>
      </c>
      <c r="N606" t="str">
        <v/>
      </c>
      <c r="O606" t="str">
        <v>Yes</v>
      </c>
      <c r="P606">
        <v>32.250024</v>
      </c>
      <c r="Q606">
        <v>-64.85148</v>
      </c>
    </row>
    <row r="607" xml:space="preserve">
      <c r="A607" t="str">
        <v>B0054-25</v>
      </c>
      <c r="B607" t="str" xml:space="preserve">
        <v xml:space="preserve">8 Trimingham Hill_x000d__x000d_
Paget, PG05</v>
      </c>
      <c r="C607" t="str">
        <v>Permitted Development</v>
      </c>
      <c r="D607" t="str">
        <v>Complete</v>
      </c>
      <c r="E607">
        <v>45749</v>
      </c>
      <c r="F607" t="str">
        <v>Rooftop PV Solar System, 42 panels @ 410W/panel; 22.1 sq ft/panel; Total system area 928 sq ft; Total DC Output 17.2; Annual Output 22.43 h; Total AC Output 16.86; Energy storage system total power rating 30; Energy storage capacity 48h DC Coupled Battery Storage</v>
      </c>
      <c r="G607">
        <v>16.86</v>
      </c>
      <c r="H607" t="str">
        <v>Residential</v>
      </c>
      <c r="I607">
        <v>45715</v>
      </c>
      <c r="J607">
        <v>45924</v>
      </c>
      <c r="K607" t="str">
        <v>Paget</v>
      </c>
      <c r="L607">
        <v>47575</v>
      </c>
      <c r="M607">
        <v>45916</v>
      </c>
      <c r="N607" t="str">
        <v/>
      </c>
      <c r="O607" t="str">
        <v>Yes</v>
      </c>
      <c r="P607">
        <v>32.290288</v>
      </c>
      <c r="Q607">
        <v>-64.769736</v>
      </c>
    </row>
    <row r="608" xml:space="preserve">
      <c r="A608" t="str">
        <v>B0073-25</v>
      </c>
      <c r="B608" t="str" xml:space="preserve">
        <v xml:space="preserve">23 Melville Road_x000d__x000d_
Devonshire, DV07</v>
      </c>
      <c r="C608" t="str">
        <v>Permitted Development</v>
      </c>
      <c r="D608" t="str">
        <v>Complete</v>
      </c>
      <c r="E608">
        <v>45750</v>
      </c>
      <c r="F608" t="str" xml:space="preserve">
        <v xml:space="preserve">New PV Solar System 31 panels @ 370W/Panel, 19.6 sqft/Panel, New System Area 609 sqft, New DC Output 11.47, AC Output 8.99,_x000d_
Annual Output 15142h, New 15h wall mounted battery system</v>
      </c>
      <c r="G608">
        <v>8.99</v>
      </c>
      <c r="H608" t="str">
        <v>Residential</v>
      </c>
      <c r="I608">
        <v>45733</v>
      </c>
      <c r="J608">
        <v>45750</v>
      </c>
      <c r="K608" t="str">
        <v>Devonshire</v>
      </c>
      <c r="L608">
        <v>47576</v>
      </c>
      <c r="M608">
        <v>45775</v>
      </c>
      <c r="N608" t="str">
        <v/>
      </c>
      <c r="O608" t="str">
        <v>Yes</v>
      </c>
      <c r="P608">
        <v>32.3022975</v>
      </c>
      <c r="Q608">
        <v>-64.7524478</v>
      </c>
    </row>
    <row r="609" xml:space="preserve">
      <c r="A609" t="str">
        <v>B0075-25</v>
      </c>
      <c r="B609" t="str" xml:space="preserve">
        <v xml:space="preserve">11 Benny's Bay Road_x000d__x000d_
Sandys, SB03</v>
      </c>
      <c r="C609" t="str">
        <v>Permitted Development</v>
      </c>
      <c r="D609" t="str">
        <v>Complete</v>
      </c>
      <c r="E609">
        <v>45750</v>
      </c>
      <c r="F609" t="str">
        <v xml:space="preserve">Roof-mounted PV Solar System: 12 panels @ 420W/panel; 20.8 sq ft/ panel; Total system area 249.6 sq ft; Total DC Output 5.04 ; Annual Output 7,308 h; Total AC Output 4.32 </v>
      </c>
      <c r="G609">
        <v>4.32</v>
      </c>
      <c r="H609" t="str">
        <v>Residential</v>
      </c>
      <c r="I609">
        <v>45733</v>
      </c>
      <c r="J609">
        <v>45750</v>
      </c>
      <c r="K609" t="str">
        <v>Sandys</v>
      </c>
      <c r="L609">
        <v>47576</v>
      </c>
      <c r="M609">
        <v>45827</v>
      </c>
      <c r="N609" t="str">
        <v/>
      </c>
      <c r="O609" t="str">
        <v>Yes</v>
      </c>
      <c r="P609">
        <v>32.267747</v>
      </c>
      <c r="Q609">
        <v>-64.879456</v>
      </c>
    </row>
    <row r="610" xml:space="preserve">
      <c r="A610" t="str">
        <v>B0022-25</v>
      </c>
      <c r="B610" t="str" xml:space="preserve">
        <v xml:space="preserve">70 Harbour Road_x000d__x000d_
Paget, PG02</v>
      </c>
      <c r="C610" t="str">
        <v>Permitted Development</v>
      </c>
      <c r="D610" t="str">
        <v>Issued</v>
      </c>
      <c r="E610">
        <v>45751</v>
      </c>
      <c r="F610" t="str" xml:space="preserve">
        <v xml:space="preserve">Additional 11 panels @ 370W/panel; Total Area 216.15 sq ft; Total DC output 4.07 ; Annual Output 4924 h; Total AC Output 4 _x000d_
System Totals 51panels @ 290w/panel, 18panels @ 325w/panel, 11panels @ 370w/panel; Total Area 1476.15 sq ft; Total DC output 25.04 ; Total Annual Output 35,014 h; Total AC Output 23.6</v>
      </c>
      <c r="G610">
        <v>23.6</v>
      </c>
      <c r="H610" t="str">
        <v>Residential</v>
      </c>
      <c r="I610">
        <v>45681</v>
      </c>
      <c r="J610" t="str">
        <v/>
      </c>
      <c r="K610" t="str">
        <v>Paget</v>
      </c>
      <c r="L610">
        <v>47577</v>
      </c>
      <c r="M610">
        <v>45782</v>
      </c>
      <c r="N610" t="str">
        <v/>
      </c>
      <c r="O610" t="str">
        <v>Yes</v>
      </c>
      <c r="P610">
        <v>32.282617</v>
      </c>
      <c r="Q610">
        <v>-64.78968</v>
      </c>
    </row>
    <row r="611" xml:space="preserve">
      <c r="A611" t="str">
        <v>BC0138-24</v>
      </c>
      <c r="B611" t="str" xml:space="preserve">
        <v xml:space="preserve">10 Queen Street_x000d__x000d_
City of Hamilton, HM11</v>
      </c>
      <c r="C611" t="str">
        <v>Building - Commercial</v>
      </c>
      <c r="D611" t="str">
        <v>Complete</v>
      </c>
      <c r="E611">
        <v>45751</v>
      </c>
      <c r="F611" t="str">
        <v>Roof install of Solar. 92 Modules. 410w /Panel. 19.9sf/Panel. Total DC output: 37,720w. Total Panel area, 1,830.8sf. Estimated Annual Yield 51,620h, Total AC output 34.6</v>
      </c>
      <c r="G611">
        <v>34.6</v>
      </c>
      <c r="H611" t="str">
        <v>Building Commercial</v>
      </c>
      <c r="I611">
        <v>45628</v>
      </c>
      <c r="J611">
        <v>45986</v>
      </c>
      <c r="K611" t="str">
        <v>City of Hamilton</v>
      </c>
      <c r="L611">
        <v>47577</v>
      </c>
      <c r="M611">
        <v>45982</v>
      </c>
      <c r="N611" t="str">
        <v/>
      </c>
      <c r="O611" t="str">
        <v>Yes</v>
      </c>
      <c r="P611">
        <v>32.293904</v>
      </c>
      <c r="Q611">
        <v>-64.786387</v>
      </c>
    </row>
    <row r="612" xml:space="preserve">
      <c r="A612" t="str">
        <v>BR0021-25</v>
      </c>
      <c r="B612" t="str" xml:space="preserve">
        <v xml:space="preserve">3 Marshall Island_x000d__x000d_
Warwick, WK05, Bermuda</v>
      </c>
      <c r="C612" t="str">
        <v>Building - Residential</v>
      </c>
      <c r="D612" t="str">
        <v>Complete</v>
      </c>
      <c r="E612">
        <v>45763</v>
      </c>
      <c r="F612" t="str" xml:space="preserve">
        <v xml:space="preserve">Proposed PV Solar System Mounted To Existing Concrete Slabs - Additional 43 Panels @ 370 W/Panel; 19.6 sq ft/ Panel; Proposed System Area 842 sq ft; Total DC Output 15.91 ; Annual Output 18957 h; Total AC Output 12.47 ._x000d_
Total PV Solar System 133 panels; Total system area 2,610sq ft; Total Capacity 49.21.</v>
      </c>
      <c r="G612">
        <v>12.47</v>
      </c>
      <c r="H612" t="str">
        <v>Building Residential</v>
      </c>
      <c r="I612">
        <v>45685</v>
      </c>
      <c r="J612">
        <v>45898</v>
      </c>
      <c r="K612" t="str">
        <v>Warwick</v>
      </c>
      <c r="L612">
        <v>47589</v>
      </c>
      <c r="M612">
        <v>45897</v>
      </c>
      <c r="N612" t="str">
        <v/>
      </c>
      <c r="O612" t="str">
        <v>Yes</v>
      </c>
      <c r="P612">
        <v>32.368971</v>
      </c>
      <c r="Q612">
        <v>-64.681281</v>
      </c>
    </row>
    <row r="613" xml:space="preserve">
      <c r="A613" t="str">
        <v>BR0020-25</v>
      </c>
      <c r="B613" t="str" xml:space="preserve">
        <v xml:space="preserve">1 Marshall Island_x000d__x000d_
Warwick, WK05</v>
      </c>
      <c r="C613" t="str">
        <v>Building - Residential</v>
      </c>
      <c r="D613" t="str">
        <v>Complete</v>
      </c>
      <c r="E613">
        <v>45763</v>
      </c>
      <c r="F613" t="str" xml:space="preserve">
        <v xml:space="preserve">Proposed Addition of Ground-Mounted PV Solar System of 32 panels to Existing System for Total PV Solar System of 116 Panels, Total System Area of 2,298 Square Feet and Total Capacity of 43.29 _x000d__x000d_
*Revised: Additional PV Solar System of 27 Panels@ 370 W/panel; Total Additional Area of 530 Square Feet; Additional DC Capacity of 9.99 _x000d__x000d_
Total PV System 111 Panels@ 370W/panel; Total Area of 2179 Square Feet; Total DC Capacity of 41.07; Total AC Capacity 32.19; Total Annual output 52571 h.</v>
      </c>
      <c r="G613">
        <v>32.19</v>
      </c>
      <c r="H613" t="str">
        <v>Building Residential</v>
      </c>
      <c r="I613">
        <v>45685</v>
      </c>
      <c r="J613">
        <v>45918</v>
      </c>
      <c r="K613" t="str">
        <v>Warwick</v>
      </c>
      <c r="L613">
        <v>47589</v>
      </c>
      <c r="M613">
        <v>45888</v>
      </c>
      <c r="N613" t="str">
        <v/>
      </c>
      <c r="O613" t="str">
        <v>Yes</v>
      </c>
      <c r="P613">
        <v>32.283819</v>
      </c>
      <c r="Q613">
        <v>-64.80844</v>
      </c>
    </row>
    <row r="614" xml:space="preserve">
      <c r="A614" t="str">
        <v>B0090-25</v>
      </c>
      <c r="B614" t="str" xml:space="preserve">
        <v xml:space="preserve">49 Tucker's Point Drive_x000d__x000d_
Hamilton, HS02</v>
      </c>
      <c r="C614" t="str">
        <v>Permitted Development</v>
      </c>
      <c r="D614" t="str">
        <v>Complete</v>
      </c>
      <c r="E614">
        <v>45770</v>
      </c>
      <c r="F614" t="str">
        <v>Roof Mounted Solar PV System: 44 Panels @ 450 W/Panel; 22.4 sq ft/Panel; Total sq ft 985.6; Total System Capacity 19.8 ; Total Annual Output 28,710 h | Tesla Powerwall: 2 Tesla Powerwall3 @ 13.5 / Powerwall; Total System Capacity 27 ; 4.57 sq ft/ Powerwall; Total sq ft 9.14.</v>
      </c>
      <c r="G614">
        <v>19.8</v>
      </c>
      <c r="H614" t="str">
        <v>Residential</v>
      </c>
      <c r="I614">
        <v>45741</v>
      </c>
      <c r="J614">
        <v>45874</v>
      </c>
      <c r="K614" t="str">
        <v>Hamilton</v>
      </c>
      <c r="L614">
        <v>47596</v>
      </c>
      <c r="M614">
        <v>45833</v>
      </c>
      <c r="N614" t="str">
        <v/>
      </c>
      <c r="O614" t="str">
        <v>Yes</v>
      </c>
      <c r="P614">
        <v>32.337896</v>
      </c>
      <c r="Q614">
        <v>-64.701341</v>
      </c>
    </row>
    <row r="615" xml:space="preserve">
      <c r="A615" t="str">
        <v>B0070-25</v>
      </c>
      <c r="B615" t="str" xml:space="preserve">
        <v xml:space="preserve">57 Bloomfield Drive_x000d__x000d_
Warwick, WK04, Bermuda</v>
      </c>
      <c r="C615" t="str">
        <v>Permitted Development</v>
      </c>
      <c r="D615" t="str">
        <v>Complete</v>
      </c>
      <c r="E615">
        <v>45770</v>
      </c>
      <c r="F615" t="str" xml:space="preserve">
        <v xml:space="preserve">Roof-mounted PV Solar System: 25 panels @ 420W/panel; 20.8 sq ft/ panel; Total system area 520 sq ft; Total DC Output 10.5 ; Annual Output 15,225 h; Total AC Output 9  *Revision 1: Proposed Roof-Mounted Solar PV System: 29 Panels @ 420 W/Panel; 20.8 sq ft/Panel; Total sq ft 603.2; Total System Capacity 12.18 ; Total Annual Output 17,661 h_x000d_
* Only system size &amp; panel location have changed.</v>
      </c>
      <c r="G615">
        <v>12.18</v>
      </c>
      <c r="H615" t="str">
        <v>Residential</v>
      </c>
      <c r="I615">
        <v>45728</v>
      </c>
      <c r="J615">
        <v>45958</v>
      </c>
      <c r="K615" t="str">
        <v>Warwick</v>
      </c>
      <c r="L615">
        <v>47596</v>
      </c>
      <c r="M615">
        <v>45951</v>
      </c>
      <c r="N615" t="str">
        <v/>
      </c>
      <c r="O615" t="str">
        <v>Yes</v>
      </c>
      <c r="P615">
        <v>32.337896</v>
      </c>
      <c r="Q615">
        <v>-64.701341</v>
      </c>
    </row>
    <row r="616" xml:space="preserve">
      <c r="A616" t="str">
        <v>BC0033-25</v>
      </c>
      <c r="B616" t="str" xml:space="preserve">
        <v xml:space="preserve">37 Front Street_x000d__x000d_
City of Hamilton, HM11</v>
      </c>
      <c r="C616" t="str">
        <v>Building - Commercial</v>
      </c>
      <c r="D616" t="str">
        <v>Complete</v>
      </c>
      <c r="E616">
        <v>45771</v>
      </c>
      <c r="F616" t="str">
        <v>Proposed Roof Mounted Solar PV System. 127 x 420w Modules. Total Wattage, 53.34. Module area, 19.9sf. Total Area, 2,527.30sf. Estimated Annual Yield, 72,310h; total annual AC output 53.34</v>
      </c>
      <c r="G616">
        <v>53.34</v>
      </c>
      <c r="H616" t="str">
        <v>Building Commercial</v>
      </c>
      <c r="I616">
        <v>45723</v>
      </c>
      <c r="J616">
        <v>46010</v>
      </c>
      <c r="K616" t="str">
        <v>City of Hamilton</v>
      </c>
      <c r="L616">
        <v>47597</v>
      </c>
      <c r="M616">
        <v>45982</v>
      </c>
      <c r="N616" t="str">
        <v/>
      </c>
      <c r="O616" t="str">
        <v>Yes</v>
      </c>
      <c r="P616">
        <v>32.29234</v>
      </c>
      <c r="Q616">
        <v>-64.785665</v>
      </c>
    </row>
    <row r="617" xml:space="preserve">
      <c r="A617" t="str">
        <v>B0079-25</v>
      </c>
      <c r="B617" t="str" xml:space="preserve">
        <v xml:space="preserve">40 Crow Lane_x000d__x000d_
Pembroke, HM19</v>
      </c>
      <c r="C617" t="str">
        <v>Permitted Development</v>
      </c>
      <c r="D617" t="str">
        <v>Complete</v>
      </c>
      <c r="E617">
        <v>45771</v>
      </c>
      <c r="F617" t="str">
        <v>Solar PV System 43 panels @ 370W/Panel, 19sqft/Panel, Total System Area 843sqft, Total DC Output 15.91, Total AC Output 12.47</v>
      </c>
      <c r="G617">
        <v>12.47</v>
      </c>
      <c r="H617" t="str">
        <v>Commercial</v>
      </c>
      <c r="I617">
        <v>45734</v>
      </c>
      <c r="J617">
        <v>45818</v>
      </c>
      <c r="K617" t="str">
        <v>Pembroke</v>
      </c>
      <c r="L617">
        <v>47597</v>
      </c>
      <c r="M617">
        <v>45817</v>
      </c>
      <c r="N617" t="str">
        <v/>
      </c>
      <c r="O617" t="str">
        <v>Yes</v>
      </c>
      <c r="P617">
        <v>32.2936656</v>
      </c>
      <c r="Q617">
        <v>-64.772988</v>
      </c>
    </row>
    <row r="618" xml:space="preserve">
      <c r="A618" t="str">
        <v>B0096-25</v>
      </c>
      <c r="B618" t="str" xml:space="preserve">
        <v xml:space="preserve">2 Convict Bay Lane_x000d__x000d_
Town of St. George, GE05</v>
      </c>
      <c r="C618" t="str">
        <v>Permitted Development</v>
      </c>
      <c r="D618" t="str">
        <v>Complete</v>
      </c>
      <c r="E618">
        <v>45778</v>
      </c>
      <c r="F618" t="str">
        <v>New PV Solar System 20 panels @ 430W/Panel, 23.4 sqft/Panel, New System Area 467 sqft, New DC Output 8.6, AC Output 5.8, Annual Output 12550h, New 10h wall mounted battery system</v>
      </c>
      <c r="G618">
        <v>5.8</v>
      </c>
      <c r="H618" t="str">
        <v>Commercial</v>
      </c>
      <c r="I618">
        <v>45742</v>
      </c>
      <c r="J618">
        <v>45867</v>
      </c>
      <c r="K618" t="str">
        <v>Town of St. George</v>
      </c>
      <c r="L618">
        <v>47604</v>
      </c>
      <c r="M618">
        <v>45834</v>
      </c>
      <c r="N618" t="str">
        <v/>
      </c>
      <c r="O618" t="str">
        <v>Yes</v>
      </c>
      <c r="P618">
        <v>32.382026</v>
      </c>
      <c r="Q618">
        <v>-64.674536</v>
      </c>
    </row>
    <row r="619" xml:space="preserve">
      <c r="A619" t="str">
        <v>B0107-25</v>
      </c>
      <c r="B619" t="str" xml:space="preserve">
        <v xml:space="preserve">9 Lolly's Well Road_x000d__x000d_
Smiths, FL07</v>
      </c>
      <c r="C619" t="str">
        <v>Permitted Development</v>
      </c>
      <c r="D619" t="str">
        <v>Complete</v>
      </c>
      <c r="E619">
        <v>45799</v>
      </c>
      <c r="F619" t="str">
        <v>Roof-mounted Solar PV System: 17 Panels @ 450 W/Panel; 22.4 sq ft/Panel; Total sq ft 380.8; Total DC Output 7.65 ; Total AC Output 6.885 ; Annual Output 11,093 h</v>
      </c>
      <c r="G619">
        <v>6.885</v>
      </c>
      <c r="H619" t="str">
        <v>Residential</v>
      </c>
      <c r="I619">
        <v>45747</v>
      </c>
      <c r="J619">
        <v>45834</v>
      </c>
      <c r="K619" t="str">
        <v>Smiths</v>
      </c>
      <c r="L619">
        <v>47625</v>
      </c>
      <c r="M619">
        <v>45831</v>
      </c>
      <c r="N619" t="str">
        <v/>
      </c>
      <c r="O619" t="str">
        <v>Yes</v>
      </c>
      <c r="P619">
        <v>32.3183729</v>
      </c>
      <c r="Q619">
        <v>-64.7299084</v>
      </c>
    </row>
    <row r="620" xml:space="preserve">
      <c r="A620" t="str">
        <v>B0134-25</v>
      </c>
      <c r="B620" t="str" xml:space="preserve">
        <v xml:space="preserve">146 Somerset Road_x000d__x000d_
Sandys, MA06</v>
      </c>
      <c r="C620" t="str">
        <v>Permitted Development</v>
      </c>
      <c r="D620" t="str">
        <v>Complete</v>
      </c>
      <c r="E620">
        <v>45799</v>
      </c>
      <c r="F620" t="str">
        <v>PV Solar System 37 panels @  440W/panel; Total system area 867sqft; Total DC Output 16.28; Annual Output 18712h; Total AC Output 13.54; wall mounted battery system - 20h</v>
      </c>
      <c r="G620">
        <v>13.54</v>
      </c>
      <c r="H620" t="str">
        <v>Residential</v>
      </c>
      <c r="I620">
        <v>45771</v>
      </c>
      <c r="J620">
        <v>46010</v>
      </c>
      <c r="K620" t="str">
        <v>Sandys</v>
      </c>
      <c r="L620">
        <v>47625</v>
      </c>
      <c r="M620">
        <v>46009</v>
      </c>
      <c r="N620" t="str">
        <v/>
      </c>
      <c r="O620" t="str">
        <v>Yes</v>
      </c>
      <c r="P620">
        <v>32.2846631</v>
      </c>
      <c r="Q620">
        <v>-64.8752028</v>
      </c>
    </row>
    <row r="621" xml:space="preserve">
      <c r="A621" t="str">
        <v>B0150-25</v>
      </c>
      <c r="B621" t="str" xml:space="preserve">
        <v xml:space="preserve">33 Bloomfield Drive_x000d__x000d_
Warwick, WK04</v>
      </c>
      <c r="C621" t="str">
        <v>Permitted Development</v>
      </c>
      <c r="D621" t="str">
        <v>Complete</v>
      </c>
      <c r="E621">
        <v>45799</v>
      </c>
      <c r="F621" t="str">
        <v>PV Solar System 24 panels @ 370W/panel; Total system area 471sqft; Total DC Output 8.88; Annual Output 11314h; Total AC Output 6.96</v>
      </c>
      <c r="G621">
        <v>6.96</v>
      </c>
      <c r="H621" t="str">
        <v>Residential</v>
      </c>
      <c r="I621">
        <v>45784</v>
      </c>
      <c r="J621">
        <v>46006</v>
      </c>
      <c r="K621" t="str">
        <v>Warwick</v>
      </c>
      <c r="L621">
        <v>47625</v>
      </c>
      <c r="M621">
        <v>46001</v>
      </c>
      <c r="N621" t="str">
        <v/>
      </c>
      <c r="O621" t="str">
        <v>Yes</v>
      </c>
      <c r="P621">
        <v>32.284683</v>
      </c>
      <c r="Q621">
        <v>-64.87527</v>
      </c>
    </row>
    <row r="622" xml:space="preserve">
      <c r="A622" t="str">
        <v>B0101-25</v>
      </c>
      <c r="B622" t="str" xml:space="preserve">
        <v xml:space="preserve">14 Summit View Drive_x000d__x000d_
Hamilton, CR03</v>
      </c>
      <c r="C622" t="str">
        <v>Permitted Development</v>
      </c>
      <c r="D622" t="str">
        <v>Complete</v>
      </c>
      <c r="E622">
        <v>45805</v>
      </c>
      <c r="F622" t="str" xml:space="preserve">
        <v xml:space="preserve">Proposed roof mounted PV Solar System 34 panels @ 430 W/panel; 20.60 sq ft/ panel; Total system area 693.60 sq ft; Total DC Output 14.62 ; Annual Output 20,079 h; Total AC Output 12.57  _x000d_
Energy storage system: Total power rating 15.36; Energy storage capacity 20h_x000d_
_x000d_
DC Output: 14.62; AC Output: 12.57.</v>
      </c>
      <c r="G622">
        <v>12.57</v>
      </c>
      <c r="H622" t="str">
        <v>Residential</v>
      </c>
      <c r="I622">
        <v>45743</v>
      </c>
      <c r="J622">
        <v>45912</v>
      </c>
      <c r="K622" t="str">
        <v>Hamilton</v>
      </c>
      <c r="L622">
        <v>47631</v>
      </c>
      <c r="M622">
        <v>45887</v>
      </c>
      <c r="N622" t="str">
        <v>Victoria Cordeiro</v>
      </c>
      <c r="O622" t="str">
        <v>Yes</v>
      </c>
      <c r="P622">
        <v>32.344695</v>
      </c>
      <c r="Q622">
        <v>-64.724579</v>
      </c>
    </row>
    <row r="623" xml:space="preserve">
      <c r="A623" t="str">
        <v>B0158-25</v>
      </c>
      <c r="B623" t="str" xml:space="preserve">
        <v xml:space="preserve">8 Devondale Drive_x000d__x000d_
Devonshire, DV07</v>
      </c>
      <c r="C623" t="str">
        <v>Permitted Development</v>
      </c>
      <c r="D623" t="str">
        <v>Complete</v>
      </c>
      <c r="E623">
        <v>45810</v>
      </c>
      <c r="F623" t="str">
        <v>New Roof Mounted PV System 19 panels @ 370W/Panel, 19.6 sqft/Panel, New System Area 373 sqft, New DC Output 7.03, AC Output      5.51, Annual Output 8680h, Total Solar PV System size: 16.27 -DC, 14.50-AC, New 10h wall mounted battery system, 30h existing battery system, Total 40h battery system</v>
      </c>
      <c r="G623">
        <v>5.51</v>
      </c>
      <c r="H623" t="str">
        <v>Residential</v>
      </c>
      <c r="I623">
        <v>45790</v>
      </c>
      <c r="J623">
        <v>45860</v>
      </c>
      <c r="K623" t="str">
        <v>Devonshire</v>
      </c>
      <c r="L623">
        <v>47637</v>
      </c>
      <c r="M623">
        <v>45842</v>
      </c>
      <c r="N623" t="str">
        <v/>
      </c>
      <c r="O623" t="str">
        <v>Yes</v>
      </c>
      <c r="P623">
        <v>32.296333</v>
      </c>
      <c r="Q623">
        <v>-64.75155</v>
      </c>
    </row>
    <row r="624" xml:space="preserve">
      <c r="A624" t="str">
        <v>B0076-25</v>
      </c>
      <c r="B624" t="str" xml:space="preserve">
        <v xml:space="preserve">8 Slip Point Lane_x000d__x000d_
St. George's, GE02</v>
      </c>
      <c r="C624" t="str">
        <v>Permitted Development</v>
      </c>
      <c r="D624" t="str">
        <v>Issued</v>
      </c>
      <c r="E624">
        <v>45810</v>
      </c>
      <c r="F624" t="str" xml:space="preserve">
        <v xml:space="preserve">Additional 4 panels @ 325W/panel; Total Area 72.08 sq ft; Total DC output 1.3 ; Annual Output 1,957h; Total AC Output 1.3 _x000d_
System Total 32 panels @ 325W/panel; Total Area 828.08 sq ft; Total DC output 8.56 ; Annual Output 16,203 h; Total AC Output 8.56 , 1 10h Battery,* Revision 1: ADD BACKUP INTERFACE FOR ISLANDING TO EXISTING SOLAR SYSTEM</v>
      </c>
      <c r="G624">
        <v>8.56</v>
      </c>
      <c r="H624" t="str">
        <v>Residential</v>
      </c>
      <c r="I624">
        <v>45733</v>
      </c>
      <c r="J624" t="str">
        <v/>
      </c>
      <c r="K624" t="str">
        <v>St. George</v>
      </c>
      <c r="L624">
        <v>47637</v>
      </c>
      <c r="M624">
        <v>46098</v>
      </c>
      <c r="N624" t="str">
        <v/>
      </c>
      <c r="O624" t="str">
        <v>Yes</v>
      </c>
      <c r="P624">
        <v>32.376398</v>
      </c>
      <c r="Q624">
        <v>-64.691503</v>
      </c>
    </row>
    <row r="625" xml:space="preserve">
      <c r="A625" t="str">
        <v>B0163-25</v>
      </c>
      <c r="B625" t="str" xml:space="preserve">
        <v xml:space="preserve">8 Hastings Road_x000d__x000d_
Pembroke, HM05</v>
      </c>
      <c r="C625" t="str">
        <v>Permitted Development</v>
      </c>
      <c r="D625" t="str">
        <v>Complete</v>
      </c>
      <c r="E625">
        <v>45810</v>
      </c>
      <c r="F625" t="str" xml:space="preserve">
        <v xml:space="preserve">New Roof Mounted PV System 37 panels @ 370W/Panel, 19.6 sqft/Panel, New System Area 727 sqft, New DC Output 13.69, AC Output 10.73, Annual Output 17560h, Existing PV System: DC Output 3.92, AC Output 4.06, Annual Output 4500h, Total PV System:_x000d_
DC Output 17.61, AC Output 14.79, Total Annual Output 22060h</v>
      </c>
      <c r="G625">
        <v>14.79</v>
      </c>
      <c r="H625" t="str">
        <v>Residential</v>
      </c>
      <c r="I625">
        <v>45792</v>
      </c>
      <c r="J625">
        <v>45834</v>
      </c>
      <c r="K625" t="str">
        <v>Pembroke</v>
      </c>
      <c r="L625">
        <v>47637</v>
      </c>
      <c r="M625">
        <v>45832</v>
      </c>
      <c r="N625" t="str">
        <v/>
      </c>
      <c r="O625" t="str">
        <v>Yes</v>
      </c>
      <c r="P625">
        <v>32.2929526</v>
      </c>
      <c r="Q625">
        <v>-64.8017921</v>
      </c>
    </row>
    <row r="626" xml:space="preserve">
      <c r="A626" t="str">
        <v>B0136-25</v>
      </c>
      <c r="B626" t="str" xml:space="preserve">
        <v xml:space="preserve">14 Cottage Hill Road West_x000d__x000d_
Hamilton, CR02</v>
      </c>
      <c r="C626" t="str">
        <v>Permitted Development</v>
      </c>
      <c r="D626" t="str">
        <v>Complete</v>
      </c>
      <c r="E626">
        <v>45813</v>
      </c>
      <c r="F626" t="str" xml:space="preserve">
        <v xml:space="preserve">Additional 8 panels @ 420W/panel; Total Area 166.4 sq ft; Total DC output 3.36 ; Annual Output 7.66_x000d_
h; Total AC Output 2.79 _x000d_
System Total 22 panels, 8.68. Total Area 538.2 sq ft; Total DC output 8.68 ; Annual Output 19,790 h;_x000d_
Total AC Output 7.68_x000d_
One Tesla 10h Battery, 1 Tesla Backup Gateway</v>
      </c>
      <c r="G626">
        <v>7.68</v>
      </c>
      <c r="H626" t="str">
        <v>Residential</v>
      </c>
      <c r="I626">
        <v>45771</v>
      </c>
      <c r="J626">
        <v>46099</v>
      </c>
      <c r="K626" t="str">
        <v>Hamilton</v>
      </c>
      <c r="L626">
        <v>47639</v>
      </c>
      <c r="M626">
        <v>46073</v>
      </c>
      <c r="N626" t="str">
        <v/>
      </c>
      <c r="O626" t="str">
        <v>Yes</v>
      </c>
      <c r="P626">
        <v>32.3416</v>
      </c>
      <c r="Q626">
        <v>-64.7286773</v>
      </c>
    </row>
    <row r="627" xml:space="preserve">
      <c r="A627" t="str">
        <v>B0092-25</v>
      </c>
      <c r="B627" t="str" xml:space="preserve">
        <v xml:space="preserve">9 West Point Lane_x000d__x000d_
Hamilton, CR01</v>
      </c>
      <c r="C627" t="str">
        <v>Permitted Development</v>
      </c>
      <c r="D627" t="str">
        <v>Issued</v>
      </c>
      <c r="E627">
        <v>45813</v>
      </c>
      <c r="F627" t="str">
        <v>Proposed roof mounted solar panels (13 total) 265.2sq. ft. Annual Output:7,243 h DC Output: 5.59W; AC Output: 4.81.</v>
      </c>
      <c r="G627">
        <v>4.81</v>
      </c>
      <c r="H627" t="str">
        <v>Residential</v>
      </c>
      <c r="I627">
        <v>45741</v>
      </c>
      <c r="J627" t="str">
        <v/>
      </c>
      <c r="K627" t="str">
        <v>Hamilton</v>
      </c>
      <c r="L627">
        <v>47639</v>
      </c>
      <c r="M627">
        <v>45825</v>
      </c>
      <c r="N627" t="str">
        <v>Victoria Cordeiro</v>
      </c>
      <c r="O627" t="str">
        <v>Yes</v>
      </c>
      <c r="P627">
        <v>32.33361</v>
      </c>
      <c r="Q627">
        <v>-64.740621</v>
      </c>
    </row>
    <row r="628" xml:space="preserve">
      <c r="A628" t="str">
        <v>B0126-25</v>
      </c>
      <c r="B628" t="str" xml:space="preserve">
        <v xml:space="preserve">1 Highwood Lane_x000d__x000d_
Paget, PG05</v>
      </c>
      <c r="C628" t="str">
        <v>Permitted Development</v>
      </c>
      <c r="D628" t="str">
        <v>Complete</v>
      </c>
      <c r="E628">
        <v>45817</v>
      </c>
      <c r="F628" t="str">
        <v>Proposed roof mounted PV Solar System 24 panels @ 360 W/panel; 19.04 sq ft/ panel; Total system area 457 sq ft; Total DC Output 8.64 ; Annual Output 11,866h; Total AC Output 7.43.</v>
      </c>
      <c r="G628">
        <v>7.43</v>
      </c>
      <c r="H628" t="str">
        <v>Residential</v>
      </c>
      <c r="I628">
        <v>45763</v>
      </c>
      <c r="J628">
        <v>46196</v>
      </c>
      <c r="K628" t="str">
        <v>Paget</v>
      </c>
      <c r="L628">
        <v>47644</v>
      </c>
      <c r="M628">
        <v>46126</v>
      </c>
      <c r="N628" t="str">
        <v/>
      </c>
      <c r="O628" t="str">
        <v>Yes</v>
      </c>
      <c r="P628">
        <v>32.288179</v>
      </c>
      <c r="Q628">
        <v>-64.779644</v>
      </c>
    </row>
    <row r="629" xml:space="preserve">
      <c r="A629" t="str">
        <v>B0115-25</v>
      </c>
      <c r="B629" t="str" xml:space="preserve">
        <v xml:space="preserve">51 Railway Trail_x000d__x000d_
Sandys, MA06, Bermuda</v>
      </c>
      <c r="C629" t="str">
        <v>Permitted Development</v>
      </c>
      <c r="D629" t="str">
        <v>Complete</v>
      </c>
      <c r="E629">
        <v>45819</v>
      </c>
      <c r="F629" t="str">
        <v>Roof-mounted Solar PV System: 44 Panels @ 450 W/Panel; 22.4 sq ft/Panel; Total sq ft 985.6; Total DC Output 19.8 ; Total AC output 17.03 ; Annual Output 28,710 h</v>
      </c>
      <c r="G629">
        <v>17.03</v>
      </c>
      <c r="H629" t="str">
        <v>Residential</v>
      </c>
      <c r="I629">
        <v>45755</v>
      </c>
      <c r="J629">
        <v>45849</v>
      </c>
      <c r="K629" t="str">
        <v>Sandys</v>
      </c>
      <c r="L629">
        <v>47645</v>
      </c>
      <c r="M629">
        <v>45846</v>
      </c>
      <c r="N629" t="str">
        <v/>
      </c>
      <c r="O629" t="str">
        <v>Yes</v>
      </c>
      <c r="P629">
        <v>32.282405</v>
      </c>
      <c r="Q629">
        <v>-64.871083</v>
      </c>
    </row>
    <row r="630" xml:space="preserve">
      <c r="A630" t="str">
        <v>B0113-25</v>
      </c>
      <c r="B630" t="str" xml:space="preserve">
        <v xml:space="preserve">17 Melville Crescent_x000d__x000d_
Devonshire, DV07</v>
      </c>
      <c r="C630" t="str">
        <v>Permitted Development</v>
      </c>
      <c r="D630" t="str">
        <v>Complete</v>
      </c>
      <c r="E630">
        <v>45820</v>
      </c>
      <c r="F630" t="str" xml:space="preserve">
        <v xml:space="preserve">Roof-mounted Solar PV System: 20 Panels @ 450 W/Panel; 22.4 sq ft/Panel; Total sq ft 448; Total DC Output 9 ; Total AC Output 7.14 ; Annual Output 13,050 h *REVISION 2 Revision 2: Roof-mounted Solar PV System: 20 Panels @ 450 W/Panel; 22.4 sq ft/Panel; Total sq ft 448; Total DC Output 9 ; Total AC Output 7.14 ; Annual Output 13,050 h | Tesla Powerwall: 2 Tesla Powerwall3 @ 13.5 / Powerwall; Total System Capacity 27 ; 4.57 sq ft/ Powerwall; Total sq ft 9.14_x000d_
*Panel location has changed and added battery storage.</v>
      </c>
      <c r="G630">
        <v>27</v>
      </c>
      <c r="H630" t="str">
        <v>Residential</v>
      </c>
      <c r="I630">
        <v>45750</v>
      </c>
      <c r="J630">
        <v>45922</v>
      </c>
      <c r="K630" t="str">
        <v>Devonshire</v>
      </c>
      <c r="L630">
        <v>47646</v>
      </c>
      <c r="M630">
        <v>45918</v>
      </c>
      <c r="N630" t="str">
        <v/>
      </c>
      <c r="O630" t="str">
        <v>Yes</v>
      </c>
      <c r="P630">
        <v>32.3000328</v>
      </c>
      <c r="Q630">
        <v>-64.7509621</v>
      </c>
    </row>
    <row r="631" xml:space="preserve">
      <c r="A631" t="str">
        <v>BR0111-25</v>
      </c>
      <c r="B631" t="str" xml:space="preserve">
        <v xml:space="preserve">1 Homestead Lane_x000d__x000d_
Southampton, SB04</v>
      </c>
      <c r="C631" t="str">
        <v>Building - Residential</v>
      </c>
      <c r="D631" t="str">
        <v>Complete</v>
      </c>
      <c r="E631">
        <v>45821</v>
      </c>
      <c r="F631" t="str">
        <v>Proposed roof mounted PV Solar System 13 panels @ 430 W/panel; 20.60 sq ft/ panel; Total system area 265 sq ft; DC Output 5.59 ; Annual Output 7,677h; Total AC Output 4.80  Energy storage system: Total power rating 7.68; Energy storage capacity 10h</v>
      </c>
      <c r="G631">
        <v>4.8</v>
      </c>
      <c r="H631" t="str">
        <v>Building Residential</v>
      </c>
      <c r="I631">
        <v>45806</v>
      </c>
      <c r="J631">
        <v>45881</v>
      </c>
      <c r="K631" t="str">
        <v>Southampton</v>
      </c>
      <c r="L631">
        <v>47647</v>
      </c>
      <c r="M631">
        <v>45861</v>
      </c>
      <c r="N631" t="str">
        <v/>
      </c>
      <c r="O631" t="str">
        <v>Yes</v>
      </c>
      <c r="P631">
        <v>32.25534</v>
      </c>
      <c r="Q631">
        <v>-64.862894</v>
      </c>
    </row>
    <row r="632" xml:space="preserve">
      <c r="A632" t="str">
        <v>B0180-25</v>
      </c>
      <c r="B632" t="str" xml:space="preserve">
        <v xml:space="preserve">17 Pampas Lane_x000d__x000d_
Smiths, FL05, Bermuda</v>
      </c>
      <c r="C632" t="str">
        <v>Permitted Development</v>
      </c>
      <c r="D632" t="str">
        <v>Complete</v>
      </c>
      <c r="E632">
        <v>45825</v>
      </c>
      <c r="F632" t="str">
        <v>Roof Mounted PV System 51 panels @ 370W/Panel, 19sqft/Panel, System Area 994.5sqft, New DC Output 18.87, AC Output 14.79, Annual Output 25405h, New 15h wall mounted battery system</v>
      </c>
      <c r="G632">
        <v>14.79</v>
      </c>
      <c r="H632" t="str">
        <v>Residential</v>
      </c>
      <c r="I632">
        <v>45811</v>
      </c>
      <c r="J632">
        <v>46163</v>
      </c>
      <c r="K632" t="str">
        <v>Smiths</v>
      </c>
      <c r="L632">
        <v>47651</v>
      </c>
      <c r="M632">
        <v>46121</v>
      </c>
      <c r="N632" t="str">
        <v/>
      </c>
      <c r="O632" t="str">
        <v>Yes</v>
      </c>
      <c r="P632">
        <v>32.3042233</v>
      </c>
      <c r="Q632">
        <v>-64.738753</v>
      </c>
    </row>
    <row r="633" xml:space="preserve">
      <c r="A633" t="str">
        <v>B0181-25</v>
      </c>
      <c r="B633" t="str" xml:space="preserve">
        <v xml:space="preserve">5 Fairyland Road_x000d__x000d_
Pembroke, HM06</v>
      </c>
      <c r="C633" t="str">
        <v>Permitted Development</v>
      </c>
      <c r="D633" t="str">
        <v>Complete</v>
      </c>
      <c r="E633">
        <v>45835</v>
      </c>
      <c r="F633" t="str" xml:space="preserve">
        <v xml:space="preserve">New Roof Mounted PV System 11 panels @ 440W/Panel, 23.2 sqft/Panel, New System Area 255 sqft, New DC Output 4.84, AC Output 3.84, Annual Output 4853h, _x000d_
_x000d_
Existing PV System: DC Output 6.84, AC Output 5.51, Annual Output 8900h, Total PV System: DC Output 11.68, AC Output 9.35, Total Annual Output 13753h, Total 16.5h existing battery system</v>
      </c>
      <c r="G633">
        <v>9.35</v>
      </c>
      <c r="H633" t="str">
        <v>Residential</v>
      </c>
      <c r="I633">
        <v>45811</v>
      </c>
      <c r="J633">
        <v>45881</v>
      </c>
      <c r="K633" t="str">
        <v>Pembroke</v>
      </c>
      <c r="L633">
        <v>47661</v>
      </c>
      <c r="M633">
        <v>45860</v>
      </c>
      <c r="N633" t="str">
        <v/>
      </c>
      <c r="O633" t="str">
        <v>Yes</v>
      </c>
      <c r="P633">
        <v>32.306537</v>
      </c>
      <c r="Q633">
        <v>-64.737434</v>
      </c>
    </row>
    <row r="634" xml:space="preserve">
      <c r="A634" t="str">
        <v>B0188-25</v>
      </c>
      <c r="B634" t="str" xml:space="preserve">
        <v xml:space="preserve">4 Lemarc Estate_x000d__x000d_
Warwick, WK03</v>
      </c>
      <c r="C634" t="str">
        <v>Permitted Development</v>
      </c>
      <c r="D634" t="str">
        <v>Issued</v>
      </c>
      <c r="E634">
        <v>45835</v>
      </c>
      <c r="F634" t="str">
        <v>Additional 6 panels @ 370W/panel; Total Area 117.9 sq ft; Total DC output 2.22 ; Annual Output 3.0h; Total AC Output 2.22  System Total 20 panels, 6 @ 370W. 14 @ 330W/panel; Total Area 365.5 sq ft; Total DC output 6.84 ; Annual Output 10,280 h.  1 10h Battery</v>
      </c>
      <c r="G634">
        <v>2.22</v>
      </c>
      <c r="H634" t="str">
        <v>Residential</v>
      </c>
      <c r="I634">
        <v>45817</v>
      </c>
      <c r="J634" t="str">
        <v/>
      </c>
      <c r="K634" t="str">
        <v>Warwick</v>
      </c>
      <c r="L634">
        <v>47661</v>
      </c>
      <c r="M634">
        <v>45866</v>
      </c>
      <c r="N634" t="str">
        <v/>
      </c>
      <c r="O634" t="str">
        <v>Yes</v>
      </c>
      <c r="P634">
        <v>32.2609979</v>
      </c>
      <c r="Q634">
        <v>-64.8133581</v>
      </c>
    </row>
    <row r="635" xml:space="preserve">
      <c r="A635" t="str">
        <v>B0177-25</v>
      </c>
      <c r="B635" t="str" xml:space="preserve">
        <v xml:space="preserve">23 Pearman's Hill West_x000d__x000d_
Warwick, WK03</v>
      </c>
      <c r="C635" t="str">
        <v>Permitted Development</v>
      </c>
      <c r="D635" t="str">
        <v>Complete</v>
      </c>
      <c r="E635">
        <v>45835</v>
      </c>
      <c r="F635" t="str" xml:space="preserve">
        <v xml:space="preserve">Roof-mounted PV Solar System: 14 panels @ 450W/panel; 22.4 sq ft/ panel; Total system area 313.6 sq ft; Total DC Output 6.3 ; Annual Output 9,135 h; Total AC Output 5.42 _x000d_
 *Revision 1: Roof-mounted PV Solar System: 14 panels @ 450W/panel; 22.4 sq ft/ panel; Total system area 313.6 sq ft; Total DC Output 6.3 ; Annual Output 9,135 h; Total AC Output 5.42  | Tesla Powerwall: Tesla Powerwall3 @ 13.5 / Powerwall; Total System Capacity 13.5 ; 4.57 sq ft/ Powerwall; Total sq ft 4.57_x000d_
_x000d_
*Only change is adding battery storage</v>
      </c>
      <c r="G635">
        <v>13.5</v>
      </c>
      <c r="H635" t="str">
        <v>Residential</v>
      </c>
      <c r="I635">
        <v>45811</v>
      </c>
      <c r="J635">
        <v>45898</v>
      </c>
      <c r="K635" t="str">
        <v>Warwick</v>
      </c>
      <c r="L635">
        <v>47661</v>
      </c>
      <c r="M635">
        <v>45896</v>
      </c>
      <c r="N635" t="str">
        <v/>
      </c>
      <c r="O635" t="str">
        <v>Yes</v>
      </c>
      <c r="P635">
        <v>32.264039</v>
      </c>
      <c r="Q635">
        <v>-64.8083577</v>
      </c>
    </row>
    <row r="636" xml:space="preserve">
      <c r="A636" t="str">
        <v>BR0095-25</v>
      </c>
      <c r="B636" t="str" xml:space="preserve">
        <v xml:space="preserve">17 Tankfield Hill_x000d__x000d_
Paget, PG06</v>
      </c>
      <c r="C636" t="str">
        <v>Building - Residential</v>
      </c>
      <c r="D636" t="str">
        <v>Complete</v>
      </c>
      <c r="E636">
        <v>45838</v>
      </c>
      <c r="F636" t="str" xml:space="preserve">
        <v xml:space="preserve">Roof &amp; Ground Mounted Solar PV System: 32 Panels @ 420 W/Panel; 20.8 sq ft/Panel; Total sq ft 665.6; Total DC Output 13.44 ; Annual Output 19,488 h; Total AC Output 11.52 _x000d_
*Note: Building only P0014-25_x000d_
*REVISION 1 Revision 1: Roof &amp; Ground Mounted Solar PV System: 32 Panels @ 420 W/Panel; 20.8 sq ft/Panel; Total sq ft 665.6; Total DC Output 13.44 ; Annual Output 19,488 h; Total AC Output 11.52  Tesla Powerwall: 1 Tesla Powerwall3 @ 13.5 / Powerwall; Total System Capacity 13.5 ; 4.57 sq ft/ Powerwall; Total sq ft 4.57_x000d_
*Note: Building only P0014-25_x000d_
**Change is to add battery storage</v>
      </c>
      <c r="G636">
        <v>13.5</v>
      </c>
      <c r="H636" t="str">
        <v>Building Residential</v>
      </c>
      <c r="I636">
        <v>45786</v>
      </c>
      <c r="J636">
        <v>45918</v>
      </c>
      <c r="K636" t="str">
        <v>Paget</v>
      </c>
      <c r="L636">
        <v>47665</v>
      </c>
      <c r="M636">
        <v>45918</v>
      </c>
      <c r="N636" t="str">
        <v/>
      </c>
      <c r="O636" t="str">
        <v>Yes</v>
      </c>
      <c r="P636">
        <v>32.281416</v>
      </c>
      <c r="Q636">
        <v>-64.771472</v>
      </c>
    </row>
    <row r="637" xml:space="preserve">
      <c r="A637" t="str">
        <v>B0191-25</v>
      </c>
      <c r="B637" t="str" xml:space="preserve">
        <v xml:space="preserve">40 Crow Lane_x000d__x000d_
Pembroke, HM19</v>
      </c>
      <c r="C637" t="str">
        <v>Permitted Development</v>
      </c>
      <c r="D637" t="str">
        <v>Complete</v>
      </c>
      <c r="E637">
        <v>45838</v>
      </c>
      <c r="F637" t="str" xml:space="preserve">
        <v xml:space="preserve">PV Solar System additional 24 panels @ 370W/panel;_x000d_
19sqft/panel;_x000d_
System area 456sqft;_x000d_
DC Output 8.88;_x000d_
AC Output 6.96_x000d_
_x000d_
Total System Details:_x000d_
Total Panels: 118_x000d_
Total AC Output: 34.22_x000d_
Total DC Output: 43.66_x000d_
Total System Annual Output: 60,066h</v>
      </c>
      <c r="G637">
        <v>34.22</v>
      </c>
      <c r="H637" t="str">
        <v>Commercial</v>
      </c>
      <c r="I637">
        <v>45818</v>
      </c>
      <c r="J637">
        <v>45894</v>
      </c>
      <c r="K637" t="str">
        <v>Pembroke</v>
      </c>
      <c r="L637">
        <v>47665</v>
      </c>
      <c r="M637">
        <v>45890</v>
      </c>
      <c r="N637" t="str">
        <v/>
      </c>
      <c r="O637" t="str">
        <v>Yes</v>
      </c>
      <c r="P637">
        <v>32.2936656</v>
      </c>
      <c r="Q637">
        <v>-64.772988</v>
      </c>
    </row>
    <row r="638" xml:space="preserve">
      <c r="A638" t="str">
        <v>B0198-25</v>
      </c>
      <c r="B638" t="str" xml:space="preserve">
        <v xml:space="preserve">8 Tankfield Hill_x000d__x000d_
Paget, PG06</v>
      </c>
      <c r="C638" t="str">
        <v>Permitted Development</v>
      </c>
      <c r="D638" t="str">
        <v>Complete</v>
      </c>
      <c r="E638">
        <v>45838</v>
      </c>
      <c r="F638" t="str" xml:space="preserve">
        <v xml:space="preserve">Roof mounted PV Solar System 17 panels @ 430W/Panel, 23.4 sqft/Panel, System Area 397 sqft, DC Output 7.31, AC Output 5.93,_x000d_
Annual Output 9576h, 10h wall mounted battery system</v>
      </c>
      <c r="G638">
        <v>5.93</v>
      </c>
      <c r="H638" t="str">
        <v>Residential</v>
      </c>
      <c r="I638">
        <v>45826</v>
      </c>
      <c r="J638">
        <v>45881</v>
      </c>
      <c r="K638" t="str">
        <v>Paget</v>
      </c>
      <c r="L638">
        <v>47665</v>
      </c>
      <c r="M638">
        <v>45877</v>
      </c>
      <c r="N638" t="str">
        <v/>
      </c>
      <c r="O638" t="str">
        <v>Yes</v>
      </c>
      <c r="P638">
        <v>32.282667000000004</v>
      </c>
      <c r="Q638">
        <v>-64.771985</v>
      </c>
    </row>
    <row r="639" xml:space="preserve">
      <c r="A639" t="str">
        <v>B0209-25</v>
      </c>
      <c r="B639" t="str" xml:space="preserve">
        <v xml:space="preserve">13 Mizzentop_x000d__x000d_
Warwick, WK06</v>
      </c>
      <c r="C639" t="str">
        <v>Permitted Development</v>
      </c>
      <c r="D639" t="str">
        <v>Complete</v>
      </c>
      <c r="E639">
        <v>45838</v>
      </c>
      <c r="F639" t="str">
        <v>PV Solar System 18 panels @ 430 W/panel; 20.40 sq.ft./panel; Total System area 367.20 sq.ft.; Total DC Output 7.74 ; Annual Output 10,572 h; Total AC Output 6.65; Energy storage system: Total power rating 7.68; Energy storage capacity 10h</v>
      </c>
      <c r="G639">
        <v>6.65</v>
      </c>
      <c r="H639" t="str">
        <v>Residential</v>
      </c>
      <c r="I639">
        <v>45833</v>
      </c>
      <c r="J639">
        <v>45918</v>
      </c>
      <c r="K639" t="str">
        <v>Warwick</v>
      </c>
      <c r="L639">
        <v>47665</v>
      </c>
      <c r="M639">
        <v>45896</v>
      </c>
      <c r="N639" t="str">
        <v/>
      </c>
      <c r="O639" t="str">
        <v>Yes</v>
      </c>
      <c r="P639">
        <v>32.273322</v>
      </c>
      <c r="Q639">
        <v>-64.806901</v>
      </c>
    </row>
    <row r="640" xml:space="preserve">
      <c r="A640" t="str">
        <v>B0197-25</v>
      </c>
      <c r="B640" t="str" xml:space="preserve">
        <v xml:space="preserve">47 Paynters Hill_x000d__x000d_
St. George's, HS02</v>
      </c>
      <c r="C640" t="str">
        <v>Permitted Development</v>
      </c>
      <c r="D640" t="str">
        <v>Complete</v>
      </c>
      <c r="E640">
        <v>45839</v>
      </c>
      <c r="F640" t="str" xml:space="preserve">
        <v xml:space="preserve">Proposed Addition: 4 Panels Added to Existing PV System @ 450 W/Panel; 22.4 sq ft/Panel; Total (Added) sq ft 89.6 Total (Added) System Capacity 1.8 -DC; 1.55-AC; Total (Added) Annual Output 2,610 h_x000d_
_x000d_
Existing system: 18 Panels @ 435 W/Panel; 21.42 sq ft/ Panel; Total sq ft 385.56; Total system capacity 7.83-DC; 5.85-AC; Total Annual Output 11,353 h_x000d_
_x000d_
Total System: 475.16 sq ft; Total System Capacity 9.63-DC; 7.4-AC; Total Annual Output 13,963 h</v>
      </c>
      <c r="G640">
        <v>7.4</v>
      </c>
      <c r="H640" t="str">
        <v>Residential</v>
      </c>
      <c r="I640">
        <v>45821</v>
      </c>
      <c r="J640">
        <v>45979</v>
      </c>
      <c r="K640" t="str">
        <v>Bermuda</v>
      </c>
      <c r="L640">
        <v>47665</v>
      </c>
      <c r="M640">
        <v>45944</v>
      </c>
      <c r="N640" t="str">
        <v/>
      </c>
      <c r="O640" t="str">
        <v>Yes</v>
      </c>
      <c r="P640">
        <v>32.273322</v>
      </c>
      <c r="Q640">
        <v>-64.806901</v>
      </c>
    </row>
    <row r="641" xml:space="preserve">
      <c r="A641" t="str">
        <v>B0185-25</v>
      </c>
      <c r="B641" t="str" xml:space="preserve">
        <v xml:space="preserve">2 Clouds Avenue_x000d__x000d_
Warwick, WK02</v>
      </c>
      <c r="C641" t="str">
        <v>Permitted Development</v>
      </c>
      <c r="D641" t="str">
        <v>Complete</v>
      </c>
      <c r="E641">
        <v>45849</v>
      </c>
      <c r="F641" t="str">
        <v>Roof-mounted PV Solar System: 24 panels @ 450W/panel; 22.4 sq ft/ panel; Total system area 537.6 sq ft; Total DC Output 10.8 ; Annual Output 15,660 h; Total AC Output 9.28  *Revision* (1) Roof-mounted PV Solar System: 24 panels @ 450W/panel; 22.4 sq ft/ panel; Total system area 537.6 sq ft; Total DC Output 10.8 ; Annual Output 15,660 h; Total AC Output 9.28  | Tesla Powerwall: Tesla Powerwall3 @ 13.5 / Powerwall; Total System Capacity 13.5 ; 4.57 sq ft/ Powerwall; Total sq ft 4.57</v>
      </c>
      <c r="G641">
        <v>9.28</v>
      </c>
      <c r="H641" t="str">
        <v>Residential</v>
      </c>
      <c r="I641">
        <v>45814</v>
      </c>
      <c r="J641">
        <v>45917</v>
      </c>
      <c r="K641" t="str">
        <v>Warwick</v>
      </c>
      <c r="L641">
        <v>47675</v>
      </c>
      <c r="M641">
        <v>45910</v>
      </c>
      <c r="N641" t="str">
        <v/>
      </c>
      <c r="O641" t="str">
        <v>Yes</v>
      </c>
      <c r="P641">
        <v>32.2577787</v>
      </c>
      <c r="Q641">
        <v>-64.8131251</v>
      </c>
    </row>
    <row r="642" xml:space="preserve">
      <c r="A642" t="str">
        <v>B0237-25</v>
      </c>
      <c r="B642" t="str" xml:space="preserve">
        <v xml:space="preserve">18 Constable Close_x000d__x000d_
Southampton, SB04, Bermuda</v>
      </c>
      <c r="C642" t="str">
        <v>Permitted Development</v>
      </c>
      <c r="D642" t="str">
        <v>Complete</v>
      </c>
      <c r="E642">
        <v>45863</v>
      </c>
      <c r="F642" t="str" xml:space="preserve">
        <v xml:space="preserve">PV Solar System 25 panels @ 370W/panel; _x000d_
19.64 sqft/panel;_x000d_
Total system area 491sqft; _x000d_
Total DC Output 9.25; _x000d_
Annual Output 11676h;_x000d_
Total AC Output 7.25;_x000d_
Wall mounted battery system: 20h</v>
      </c>
      <c r="G642">
        <v>7.25</v>
      </c>
      <c r="H642" t="str">
        <v>Residential</v>
      </c>
      <c r="I642">
        <v>45852</v>
      </c>
      <c r="J642">
        <v>45881</v>
      </c>
      <c r="K642" t="str">
        <v>Southampton</v>
      </c>
      <c r="L642">
        <v>47689</v>
      </c>
      <c r="M642">
        <v>45876</v>
      </c>
      <c r="N642" t="str">
        <v/>
      </c>
      <c r="O642" t="str">
        <v>Yes</v>
      </c>
      <c r="P642">
        <v>32.251885</v>
      </c>
      <c r="Q642">
        <v>-64.867841</v>
      </c>
    </row>
    <row r="643" xml:space="preserve">
      <c r="A643" t="str">
        <v>B0226-25</v>
      </c>
      <c r="B643" t="str" xml:space="preserve">
        <v xml:space="preserve">187 South Road_x000d__x000d_
Paget, DV04</v>
      </c>
      <c r="C643" t="str">
        <v>Permitted Development</v>
      </c>
      <c r="D643" t="str">
        <v>Complete</v>
      </c>
      <c r="E643">
        <v>45863</v>
      </c>
      <c r="F643" t="str">
        <v>Roof Mounted Solar PV System: 24 Panels @ 450 W/Panel; 22.4 sq ft/Panel; Total sq ft 537.6; Total DC Output 10.8 ; Total AC Output 9.29 ; Total Annual Output 15,660 h | Tesla Powerwall: 1 Tesla Powerwall3 @ 13.5 / Powerwall; Total System Capacity 13.5 ; 4.57 sq ft/ Powerwall; Total sq ft 4.57.</v>
      </c>
      <c r="G643">
        <v>13.5</v>
      </c>
      <c r="H643" t="str">
        <v>Residential</v>
      </c>
      <c r="I643">
        <v>45845</v>
      </c>
      <c r="J643">
        <v>45936</v>
      </c>
      <c r="K643" t="str">
        <v>Paget</v>
      </c>
      <c r="L643">
        <v>47689</v>
      </c>
      <c r="M643">
        <v>45924</v>
      </c>
      <c r="N643" t="str">
        <v/>
      </c>
      <c r="O643" t="str">
        <v>Yes</v>
      </c>
      <c r="P643">
        <v>32.2936511</v>
      </c>
      <c r="Q643">
        <v>-64.7617649</v>
      </c>
    </row>
    <row r="644" xml:space="preserve">
      <c r="A644" t="str">
        <v>B0243-25</v>
      </c>
      <c r="B644" t="str" xml:space="preserve">
        <v xml:space="preserve">3 Callen Glen Rise_x000d__x000d_
Hamilton, CR04</v>
      </c>
      <c r="C644" t="str">
        <v>Permitted Development</v>
      </c>
      <c r="D644" t="str">
        <v>Complete</v>
      </c>
      <c r="E644">
        <v>45863</v>
      </c>
      <c r="F644" t="str" xml:space="preserve">
        <v xml:space="preserve">PV Solar System 35 panels @ 370W/panel;_x000d_
19.60sqft/panel;_x000d_
Total system area 687sqft;_x000d_
Total DC Output 12.95;_x000d_
Annual Output 16564h;_x000d_
Total AC Output 10.15</v>
      </c>
      <c r="G644">
        <v>10.15</v>
      </c>
      <c r="H644" t="str">
        <v>Residential</v>
      </c>
      <c r="I644">
        <v>45856</v>
      </c>
      <c r="J644">
        <v>45944</v>
      </c>
      <c r="K644" t="str">
        <v>Hamilton</v>
      </c>
      <c r="L644">
        <v>47689</v>
      </c>
      <c r="M644">
        <v>45904</v>
      </c>
      <c r="N644" t="str">
        <v/>
      </c>
      <c r="O644" t="str">
        <v>Yes</v>
      </c>
      <c r="P644">
        <v>32.351726</v>
      </c>
      <c r="Q644">
        <v>-64.719244</v>
      </c>
    </row>
    <row r="645" xml:space="preserve">
      <c r="A645" t="str">
        <v>B0235-25</v>
      </c>
      <c r="B645" t="str" xml:space="preserve">
        <v xml:space="preserve">16 Pitts Bay Road_x000d__x000d_
Pembroke, HM06</v>
      </c>
      <c r="C645" t="str">
        <v>Permitted Development</v>
      </c>
      <c r="D645" t="str">
        <v>Complete</v>
      </c>
      <c r="E645">
        <v>45863</v>
      </c>
      <c r="F645" t="str">
        <v>PV Solar System 16 panels @ 430 W/panel; 20.40 sq.ft./panel; Total System area 326.4 sq.ft.; Total DC Output 6.88 ; Annual Output 9,397 h; Total AC Output 5.91</v>
      </c>
      <c r="G645">
        <v>5.91</v>
      </c>
      <c r="H645" t="str">
        <v>Residential</v>
      </c>
      <c r="I645">
        <v>45849</v>
      </c>
      <c r="J645">
        <v>46049</v>
      </c>
      <c r="K645" t="str">
        <v>Pembroke</v>
      </c>
      <c r="L645">
        <v>47689</v>
      </c>
      <c r="M645">
        <v>46002</v>
      </c>
      <c r="N645" t="str">
        <v/>
      </c>
      <c r="O645" t="str">
        <v>Yes</v>
      </c>
      <c r="P645">
        <v>32.2984631</v>
      </c>
      <c r="Q645">
        <v>-64.7971274</v>
      </c>
    </row>
    <row r="646" xml:space="preserve">
      <c r="A646" t="str">
        <v>B0239-25</v>
      </c>
      <c r="B646" t="str" xml:space="preserve">
        <v xml:space="preserve">13 Garthowen Road_x000d__x000d_
Devonshire, DV07</v>
      </c>
      <c r="C646" t="str">
        <v>Permitted Development</v>
      </c>
      <c r="D646" t="str">
        <v>Complete</v>
      </c>
      <c r="E646">
        <v>45867</v>
      </c>
      <c r="F646" t="str">
        <v>PV Solar System 39 panels @ 430 W/panel; 20.40 sq.ft./panel; Total System area 795.60 sq.ft.; Total DC Output 16.77 ; Annual Output 23,032h; Total AC Output 14.42; Energy storage system: Total power rating 15.36; Energy storage capacity 20h</v>
      </c>
      <c r="G646">
        <v>14.42</v>
      </c>
      <c r="H646" t="str">
        <v>Residential</v>
      </c>
      <c r="I646">
        <v>45855</v>
      </c>
      <c r="J646">
        <v>45959</v>
      </c>
      <c r="K646" t="str">
        <v>Devonshire</v>
      </c>
      <c r="L646">
        <v>47693</v>
      </c>
      <c r="M646">
        <v>45909</v>
      </c>
      <c r="N646" t="str">
        <v/>
      </c>
      <c r="O646" t="str">
        <v>Yes</v>
      </c>
      <c r="P646">
        <v>32.298704</v>
      </c>
      <c r="Q646">
        <v>-64.755451</v>
      </c>
    </row>
    <row r="647" xml:space="preserve">
      <c r="A647" t="str">
        <v>B0187-25</v>
      </c>
      <c r="B647" t="str" xml:space="preserve">
        <v xml:space="preserve">19 Hinson Island_x000d__x000d_
Paget, PG01</v>
      </c>
      <c r="C647" t="str">
        <v>Permitted Development</v>
      </c>
      <c r="D647" t="str">
        <v>Complete</v>
      </c>
      <c r="E647">
        <v>45867</v>
      </c>
      <c r="F647" t="str" xml:space="preserve">
        <v xml:space="preserve">Additional PV Solar System, 6 Panels @ 345W/panel; 20.125 sq ft/panel; Total Additional System area 121 sq ft; Total DC Output 2.07; Annual Output 3,220h; Total AC Output 2.02; With 14.4 h DC Coupled Battery Storage._x000d_
Existing PV Storage System, 16 Panels @ 255W/panel; 17.63 sq ft/panel; Total Existing System area 282 sq ft; Total DC Output 4.08; Annual Output 6,176 h; Total AC Output 3.672; _x000d_
Complete Expanded System Total Area 403 sq ft; Total DC Output 6.15; Annual Output 9,396h; Total AC Output 5.692; Energy storage system total Power Rating 8; energy Storage Capacity 14.4h DC Coupled Battery Storage</v>
      </c>
      <c r="G647">
        <v>5.692</v>
      </c>
      <c r="H647" t="str">
        <v>Residential</v>
      </c>
      <c r="I647">
        <v>45814</v>
      </c>
      <c r="J647">
        <v>46010</v>
      </c>
      <c r="K647" t="str">
        <v>Paget</v>
      </c>
      <c r="L647">
        <v>47693</v>
      </c>
      <c r="M647">
        <v>46008</v>
      </c>
      <c r="N647" t="str">
        <v/>
      </c>
      <c r="O647" t="str">
        <v>Yes</v>
      </c>
      <c r="P647">
        <v>32.298704</v>
      </c>
      <c r="Q647">
        <v>-64.755451</v>
      </c>
    </row>
    <row r="648" xml:space="preserve">
      <c r="A648" t="str">
        <v>B0222-25</v>
      </c>
      <c r="B648" t="str" xml:space="preserve">
        <v xml:space="preserve">11 Random Lane_x000d__x000d_
Warwick, WK03</v>
      </c>
      <c r="C648" t="str">
        <v>Permitted Development</v>
      </c>
      <c r="D648" t="str">
        <v>Complete</v>
      </c>
      <c r="E648">
        <v>45867</v>
      </c>
      <c r="F648" t="str">
        <v>Roof-mounted Solar PV System: 11 Panels @ 450 W/Panel; 22.4 sq ft/Panel; Total sq ft 246.4; Total DC Output 4.95 ; Total AC Output 4.16 ; Annual Output 7,177 h</v>
      </c>
      <c r="G648">
        <v>4.16</v>
      </c>
      <c r="H648" t="str">
        <v>Residential</v>
      </c>
      <c r="I648">
        <v>45841</v>
      </c>
      <c r="J648">
        <v>45915</v>
      </c>
      <c r="K648" t="str">
        <v>Warwick</v>
      </c>
      <c r="L648">
        <v>47693</v>
      </c>
      <c r="M648">
        <v>45898</v>
      </c>
      <c r="N648" t="str">
        <v/>
      </c>
      <c r="O648" t="str">
        <v>Yes</v>
      </c>
      <c r="P648">
        <v>32.264628</v>
      </c>
      <c r="Q648">
        <v>-64.806075</v>
      </c>
    </row>
    <row r="649" xml:space="preserve">
      <c r="A649" t="str">
        <v>B0224-25</v>
      </c>
      <c r="B649" t="str" xml:space="preserve">
        <v xml:space="preserve">3 Ravello Garden Lane_x000d__x000d_
Warwick, WK06</v>
      </c>
      <c r="C649" t="str">
        <v>Permitted Development</v>
      </c>
      <c r="D649" t="str">
        <v>Complete</v>
      </c>
      <c r="E649">
        <v>45877</v>
      </c>
      <c r="F649" t="str">
        <v>New PV Solar System 23 panels @ 365W/Panel, 19.6 sqft/Panel, New System Area 452 sqft, New DC Output 8.4, AC Output 6.67, Annual Output 11132h</v>
      </c>
      <c r="G649">
        <v>6.67</v>
      </c>
      <c r="H649" t="str">
        <v>Residential</v>
      </c>
      <c r="I649">
        <v>45842</v>
      </c>
      <c r="J649">
        <v>46006</v>
      </c>
      <c r="K649" t="str">
        <v>Warwick</v>
      </c>
      <c r="L649">
        <v>47703</v>
      </c>
      <c r="M649">
        <v>46001</v>
      </c>
      <c r="N649" t="str">
        <v/>
      </c>
      <c r="O649" t="str">
        <v>Yes</v>
      </c>
      <c r="P649">
        <v>32.2768464</v>
      </c>
      <c r="Q649">
        <v>-64.7990126</v>
      </c>
    </row>
    <row r="650" xml:space="preserve">
      <c r="A650" t="str">
        <v>B0256-25</v>
      </c>
      <c r="B650" t="str" xml:space="preserve">
        <v xml:space="preserve">5 Ord Road_x000d__x000d_
Warwick, WK09</v>
      </c>
      <c r="C650" t="str">
        <v>Permitted Development</v>
      </c>
      <c r="D650" t="str">
        <v>Complete</v>
      </c>
      <c r="E650">
        <v>45882</v>
      </c>
      <c r="F650" t="str">
        <v>PV Solar System 36 panels @ 430 W/panel; 20.40 sq.ft./panel; Total System area 734.40 sq.ft.; Total DC Output 15.48 ; Annual Output 21,261h; Total AC Output 13.31</v>
      </c>
      <c r="G650">
        <v>13.31</v>
      </c>
      <c r="H650" t="str">
        <v>Residential</v>
      </c>
      <c r="I650">
        <v>45868</v>
      </c>
      <c r="J650">
        <v>46029</v>
      </c>
      <c r="K650" t="str">
        <v>Warwick</v>
      </c>
      <c r="L650">
        <v>47708</v>
      </c>
      <c r="M650">
        <v>45986</v>
      </c>
      <c r="N650" t="str">
        <v/>
      </c>
      <c r="O650" t="str">
        <v>Yes</v>
      </c>
      <c r="P650">
        <v>32.2720093</v>
      </c>
      <c r="Q650">
        <v>-64.7998684</v>
      </c>
    </row>
    <row r="651" xml:space="preserve">
      <c r="A651" t="str">
        <v>B0262-25</v>
      </c>
      <c r="B651" t="str" xml:space="preserve">
        <v xml:space="preserve">8 Barnes Valley_x000d__x000d_
Paget, PG03</v>
      </c>
      <c r="C651" t="str">
        <v>Permitted Development</v>
      </c>
      <c r="D651" t="str">
        <v>Complete</v>
      </c>
      <c r="E651">
        <v>45883</v>
      </c>
      <c r="F651" t="str">
        <v>PV Solar System 26 panels @ 430 W/panel; 20.40 sq.ft./panel; Total System area 530.40 sq.ft.; Total DC Output 11.18 ; Annual Output 15,355h; Total AC Output 9.61, Energy Storage System total power rating 7.68; Energy storage capacity 10h</v>
      </c>
      <c r="G651">
        <v>9.61</v>
      </c>
      <c r="H651" t="str">
        <v>Residential</v>
      </c>
      <c r="I651">
        <v>45876</v>
      </c>
      <c r="J651">
        <v>46038</v>
      </c>
      <c r="K651" t="str">
        <v>Paget</v>
      </c>
      <c r="L651">
        <v>47709</v>
      </c>
      <c r="M651">
        <v>46002</v>
      </c>
      <c r="N651" t="str">
        <v/>
      </c>
      <c r="O651" t="str">
        <v>Yes</v>
      </c>
      <c r="P651">
        <v>32.281372</v>
      </c>
      <c r="Q651">
        <v>-64.777989</v>
      </c>
    </row>
    <row r="652" xml:space="preserve">
      <c r="A652" t="str">
        <v>B0250-25</v>
      </c>
      <c r="B652" t="str" xml:space="preserve">
        <v xml:space="preserve">31 Point Finger Road_x000d__x000d_
Paget, DV04</v>
      </c>
      <c r="C652" t="str">
        <v>Permitted Development</v>
      </c>
      <c r="D652" t="str">
        <v>Complete</v>
      </c>
      <c r="E652">
        <v>45883</v>
      </c>
      <c r="F652" t="str" xml:space="preserve">
        <v xml:space="preserve">New PV Solar System 8 panels @ 370W/Panel, 19.6 sqft/Panel, New System Area 157 sqft, New DC Output 2.96, AC Output 2.32, Annual_x000d_
Output 3525h, Existing PV System: DC Output 7.9, AC Output 6.67, Annual Output 10400h, Total PV System: DC Output 10.86,_x000d_
AC Output 8.99, Total Annual Output 13925h</v>
      </c>
      <c r="G652">
        <v>8.99</v>
      </c>
      <c r="H652" t="str">
        <v>Commercial</v>
      </c>
      <c r="I652">
        <v>45866</v>
      </c>
      <c r="J652">
        <v>45967</v>
      </c>
      <c r="K652" t="str">
        <v>Paget</v>
      </c>
      <c r="L652">
        <v>47709</v>
      </c>
      <c r="M652">
        <v>45967</v>
      </c>
      <c r="N652" t="str">
        <v/>
      </c>
      <c r="O652" t="str">
        <v>Yes</v>
      </c>
      <c r="P652">
        <v>32.289433</v>
      </c>
      <c r="Q652">
        <v>-64.764698</v>
      </c>
    </row>
    <row r="653" xml:space="preserve">
      <c r="A653" t="str">
        <v>B0253-25</v>
      </c>
      <c r="B653" t="str" xml:space="preserve">
        <v xml:space="preserve">1 Palm Lane_x000d__x000d_
Devonshire, FL05</v>
      </c>
      <c r="C653" t="str">
        <v>Permitted Development</v>
      </c>
      <c r="D653" t="str">
        <v>Issued</v>
      </c>
      <c r="E653">
        <v>45884</v>
      </c>
      <c r="F653" t="str" xml:space="preserve">
        <v xml:space="preserve">Roof Mounted PV System 14 panels @ 370W/Panel, 19.6 sqft/Panel, New System Area 275 sqft, New DC Output 5.18, AC Output_x000d_
4.06, Annual Output 5825h</v>
      </c>
      <c r="G653">
        <v>4.06</v>
      </c>
      <c r="H653" t="str">
        <v>Residential</v>
      </c>
      <c r="I653">
        <v>45867</v>
      </c>
      <c r="J653" t="str">
        <v/>
      </c>
      <c r="K653" t="str">
        <v>Devonshire</v>
      </c>
      <c r="L653">
        <v>47710</v>
      </c>
      <c r="M653">
        <v>46213</v>
      </c>
      <c r="N653" t="str">
        <v/>
      </c>
      <c r="O653" t="str">
        <v>Yes</v>
      </c>
      <c r="P653">
        <v>32.3014706</v>
      </c>
      <c r="Q653">
        <v>-64.7451329</v>
      </c>
    </row>
    <row r="654" xml:space="preserve">
      <c r="A654" t="str">
        <v>BR0151-25</v>
      </c>
      <c r="B654" t="str" xml:space="preserve">
        <v xml:space="preserve">154 Somerset Road_x000d__x000d_
Sandys, MA06</v>
      </c>
      <c r="C654" t="str">
        <v>Building - Residential</v>
      </c>
      <c r="D654" t="str">
        <v>Complete</v>
      </c>
      <c r="E654">
        <v>45888</v>
      </c>
      <c r="F654" t="str" xml:space="preserve">
        <v xml:space="preserve">New Roof Mounted PV System 19 panels @ 370W/Panel, 19.6 sqft/Panel, New System Area 373 sqft, New DC Output 7.03, AC Output_x000d_
5.51, Annual Output 7462h, New 10h wall mounted battery system</v>
      </c>
      <c r="G654">
        <v>5.51</v>
      </c>
      <c r="H654" t="str">
        <v>Building Residential</v>
      </c>
      <c r="I654">
        <v>45867</v>
      </c>
      <c r="J654">
        <v>45966</v>
      </c>
      <c r="K654" t="str">
        <v>Sandys</v>
      </c>
      <c r="L654">
        <v>47714</v>
      </c>
      <c r="M654">
        <v>45961</v>
      </c>
      <c r="N654" t="str">
        <v/>
      </c>
      <c r="O654" t="str">
        <v>Yes</v>
      </c>
      <c r="P654">
        <v>32.2816408</v>
      </c>
      <c r="Q654">
        <v>-64.8742465</v>
      </c>
    </row>
    <row r="655" xml:space="preserve">
      <c r="A655" t="str">
        <v>B0258-25</v>
      </c>
      <c r="B655" t="str" xml:space="preserve">
        <v xml:space="preserve">2 Green Bay Lane_x000d__x000d_
Pembroke, HM01</v>
      </c>
      <c r="C655" t="str">
        <v>Permitted Development</v>
      </c>
      <c r="D655" t="str">
        <v>Complete</v>
      </c>
      <c r="E655">
        <v>45888</v>
      </c>
      <c r="F655" t="str" xml:space="preserve">
        <v xml:space="preserve">Roof-mounted Solar PV System: 10 Panels @ 450 W/Panel; 22.4 sq ft/Panel; Total sq ft 224; Total DC Output 4.5 ; Total AC Output 3.87 ; Annual Output 6,525 h  - Revision 1: Roof-mounted Solar PV System: 10 Panels @ 450 W/Panel; 22.4 sq ft/Panel; Total sq ft 224; Total DC Output 4.5 ; Total AC Output 3.87 ; Annual Output 6,525 h | Tesla Powerwall: Tesla Powerwall3 @ 13.5 / Powerwall; Total System Capacity 13.5 ; 4.57 sq ft/ Powerwall; Total sq ft 4.57_x000d_
*Only change is to add battery storage</v>
      </c>
      <c r="G655">
        <v>3.87</v>
      </c>
      <c r="H655" t="str">
        <v>Residential</v>
      </c>
      <c r="I655">
        <v>45874</v>
      </c>
      <c r="J655">
        <v>45938</v>
      </c>
      <c r="K655" t="str">
        <v>Pembroke</v>
      </c>
      <c r="L655">
        <v>47714</v>
      </c>
      <c r="M655">
        <v>45931</v>
      </c>
      <c r="N655" t="str">
        <v/>
      </c>
      <c r="O655" t="str">
        <v>Yes</v>
      </c>
      <c r="P655">
        <v>32.302863</v>
      </c>
      <c r="Q655">
        <v>-64.811948</v>
      </c>
    </row>
    <row r="656" xml:space="preserve">
      <c r="A656" t="str">
        <v>B0263-25</v>
      </c>
      <c r="B656" t="str" xml:space="preserve">
        <v xml:space="preserve">22 Gilbert Hill_x000d__x000d_
Smiths, FL05</v>
      </c>
      <c r="C656" t="str">
        <v>Permitted Development</v>
      </c>
      <c r="D656" t="str">
        <v>Complete</v>
      </c>
      <c r="E656">
        <v>45894</v>
      </c>
      <c r="F656" t="str">
        <v>Roof Mounted Solar PV System: 22 Panels @ 450 W/Panel; 22.4 sq ft/Panel; Total sq ft 492.8; Total DC Output 9.9 ; Total AC Output 8.36 ; Total Annual Output 14,355 h | Tesla Powerwall: 1 Tesla Powerwall3 @ 13.5 / Powerwall; Total System Capacity 13.5 ; 4.57 sq ft/ Powerwall; Total sq ft 4.57.</v>
      </c>
      <c r="G656">
        <v>8.36</v>
      </c>
      <c r="H656" t="str">
        <v>Residential</v>
      </c>
      <c r="I656">
        <v>45876</v>
      </c>
      <c r="J656">
        <v>45966</v>
      </c>
      <c r="K656" t="str">
        <v>Smiths</v>
      </c>
      <c r="L656">
        <v>47721</v>
      </c>
      <c r="M656">
        <v>45953</v>
      </c>
      <c r="N656" t="str">
        <v/>
      </c>
      <c r="O656" t="str">
        <v>Yes</v>
      </c>
      <c r="P656">
        <v>32.310245</v>
      </c>
      <c r="Q656">
        <v>-64.738139</v>
      </c>
    </row>
    <row r="657" xml:space="preserve">
      <c r="A657" t="str">
        <v>BR0156-25</v>
      </c>
      <c r="B657" t="str" xml:space="preserve">
        <v xml:space="preserve">134 Somerset Road_x000d__x000d_
Sandys, MA06, Bermuda</v>
      </c>
      <c r="C657" t="str">
        <v>Building - Residential</v>
      </c>
      <c r="D657" t="str">
        <v>Complete</v>
      </c>
      <c r="E657">
        <v>45895</v>
      </c>
      <c r="F657" t="str" xml:space="preserve">
        <v xml:space="preserve">Proposed Roof-Mounted Solar PV System: 52 Panels @ 450 W/Panel (49) and 220W/Panel (3); 22.4 Sq Ft/Panel and 20 Sq Ft; Total Sq Ft 1,157.6; Total DC Output 22.71 ; Total AC Output 19.53 ; Total Annual Output 32,929 h (Listed Building)_x000d_
_x000d_
*Note: Building only P0151-25_x000d_
**Note: Two Different Models of Solar Panels Will Be Used to Make Up This System</v>
      </c>
      <c r="G657">
        <v>19.53</v>
      </c>
      <c r="H657" t="str">
        <v>Building Residential</v>
      </c>
      <c r="I657">
        <v>45877</v>
      </c>
      <c r="J657">
        <v>45989</v>
      </c>
      <c r="K657" t="str">
        <v>Sandys</v>
      </c>
      <c r="L657">
        <v>47721</v>
      </c>
      <c r="M657">
        <v>45987</v>
      </c>
      <c r="N657" t="str">
        <v/>
      </c>
      <c r="O657" t="str">
        <v>Yes</v>
      </c>
      <c r="P657">
        <v>32.2846631</v>
      </c>
      <c r="Q657">
        <v>-64.8752028</v>
      </c>
    </row>
    <row r="658" xml:space="preserve">
      <c r="A658" t="str">
        <v>B0271-25</v>
      </c>
      <c r="B658" t="str" xml:space="preserve">
        <v xml:space="preserve">9 Reid Street_x000d__x000d_
City of Hamilton, HM11</v>
      </c>
      <c r="C658" t="str">
        <v>Permitted Development</v>
      </c>
      <c r="D658" t="str">
        <v>Complete</v>
      </c>
      <c r="E658">
        <v>45896</v>
      </c>
      <c r="F658" t="str" xml:space="preserve">
        <v xml:space="preserve">PV Solar System 51 panels @ 370W/panel; _x000d_
19.6sqft/panel; _x000d_
Total system area 999.6sqft; _x000d_
Total DC Output 18.87; _x000d_
Annual Output 2526h; _x000d_
Total AC Output 14.79</v>
      </c>
      <c r="G658">
        <v>14.79</v>
      </c>
      <c r="H658" t="str">
        <v>Commercial</v>
      </c>
      <c r="I658">
        <v>45884</v>
      </c>
      <c r="J658">
        <v>45999</v>
      </c>
      <c r="K658" t="str">
        <v>City of Hamilton</v>
      </c>
      <c r="L658">
        <v>47722</v>
      </c>
      <c r="M658">
        <v>45993</v>
      </c>
      <c r="N658" t="str">
        <v/>
      </c>
      <c r="O658" t="str">
        <v>Yes</v>
      </c>
      <c r="P658">
        <v>32.293206</v>
      </c>
      <c r="Q658">
        <v>-64.785407</v>
      </c>
    </row>
    <row r="659" xml:space="preserve">
      <c r="A659" t="str">
        <v>B0272-25</v>
      </c>
      <c r="B659" t="str" xml:space="preserve">
        <v xml:space="preserve">3 Rosemont Avenue_x000d__x000d_
Pembroke, HM08</v>
      </c>
      <c r="C659" t="str">
        <v>Permitted Development</v>
      </c>
      <c r="D659" t="str">
        <v>Complete</v>
      </c>
      <c r="E659">
        <v>45908</v>
      </c>
      <c r="F659" t="str" xml:space="preserve">
        <v xml:space="preserve">New Roof Mounted PV System 28 panels @ 370W/Panel, 19.6 sqft/Panel, New System Area 550 sqft, New DC Output 10.36, AC Output_x000d_
8.12, Annual Output 13408h, New 10h wall mounted battery system</v>
      </c>
      <c r="G659">
        <v>8.12</v>
      </c>
      <c r="H659" t="str">
        <v>Residential</v>
      </c>
      <c r="I659">
        <v>45887</v>
      </c>
      <c r="J659">
        <v>45960</v>
      </c>
      <c r="K659" t="str">
        <v>Pembroke</v>
      </c>
      <c r="L659">
        <v>47735</v>
      </c>
      <c r="M659">
        <v>45946</v>
      </c>
      <c r="N659" t="str">
        <v/>
      </c>
      <c r="O659" t="str">
        <v>Yes</v>
      </c>
      <c r="P659">
        <v>32.296842</v>
      </c>
      <c r="Q659">
        <v>-64.793113</v>
      </c>
    </row>
    <row r="660" xml:space="preserve">
      <c r="A660" t="str">
        <v>B0273-25</v>
      </c>
      <c r="B660" t="str" xml:space="preserve">
        <v xml:space="preserve">41 Brighton Hill Road_x000d__x000d_
Devonshire, DV08</v>
      </c>
      <c r="C660" t="str">
        <v>Permitted Development</v>
      </c>
      <c r="D660" t="str">
        <v>Complete</v>
      </c>
      <c r="E660">
        <v>45908</v>
      </c>
      <c r="F660" t="str" xml:space="preserve">
        <v xml:space="preserve">New Roof Mounted PV System 16 panels @ 370W/Panel, 19.6 sqft/Panel, New System Area 314 sqft, New DC Output 5.92, AC Output_x000d_
4.64, Annual Output 8516h, New 10h wall mounted battery system</v>
      </c>
      <c r="G660">
        <v>4.64</v>
      </c>
      <c r="H660" t="str">
        <v>Residential</v>
      </c>
      <c r="I660">
        <v>45889</v>
      </c>
      <c r="J660">
        <v>45960</v>
      </c>
      <c r="K660" t="str">
        <v>Devonshire</v>
      </c>
      <c r="L660">
        <v>47735</v>
      </c>
      <c r="M660">
        <v>45946</v>
      </c>
      <c r="N660" t="str">
        <v/>
      </c>
      <c r="O660" t="str">
        <v>Yes</v>
      </c>
      <c r="P660">
        <v>32.300608</v>
      </c>
      <c r="Q660">
        <v>-64.750419</v>
      </c>
    </row>
    <row r="661" xml:space="preserve">
      <c r="A661" t="str">
        <v>B0283-25</v>
      </c>
      <c r="B661" t="str" xml:space="preserve">
        <v xml:space="preserve">3 Fractious Street_x000d__x000d_
Hamilton, CR04, Bermuda</v>
      </c>
      <c r="C661" t="str">
        <v>Permitted Development</v>
      </c>
      <c r="D661" t="str">
        <v>Complete</v>
      </c>
      <c r="E661">
        <v>45908</v>
      </c>
      <c r="F661" t="str" xml:space="preserve">
        <v xml:space="preserve">New Roof Mounted PV System 16 panels @ 370W/Panel, 19.6 sqft/Panel, New System Area 314 sqft, New DC Output 5.92, AC Output_x000d_
4.64, Annual Output 8335h</v>
      </c>
      <c r="G661">
        <v>4.64</v>
      </c>
      <c r="H661" t="str">
        <v>Residential</v>
      </c>
      <c r="I661">
        <v>45895</v>
      </c>
      <c r="J661">
        <v>46219</v>
      </c>
      <c r="K661" t="str">
        <v>Hamilton</v>
      </c>
      <c r="L661">
        <v>47735</v>
      </c>
      <c r="M661">
        <v>46192</v>
      </c>
      <c r="N661" t="str">
        <v/>
      </c>
      <c r="O661" t="str">
        <v>Yes</v>
      </c>
      <c r="P661">
        <v>32.3484628</v>
      </c>
      <c r="Q661">
        <v>-64.7188159</v>
      </c>
    </row>
    <row r="662" xml:space="preserve">
      <c r="A662" t="str">
        <v>B0261-25</v>
      </c>
      <c r="B662" t="str" xml:space="preserve">
        <v xml:space="preserve">3 Lolly's Lane_x000d__x000d_
Smiths, FL07</v>
      </c>
      <c r="C662" t="str">
        <v>Permitted Development</v>
      </c>
      <c r="D662" t="str">
        <v>Complete</v>
      </c>
      <c r="E662">
        <v>45909</v>
      </c>
      <c r="F662" t="str">
        <v>Proposed New Carport  and PV System.  10 Panels @450w/panel, 19.92 Square Feet /panel.  Total System Area 199 Sq Ft.  Total DC Output 4.5 .  Annual Output 5828 h.  Total AC Output 3.8 .</v>
      </c>
      <c r="G662">
        <v>3.8</v>
      </c>
      <c r="H662" t="str">
        <v>Residential</v>
      </c>
      <c r="I662">
        <v>45876</v>
      </c>
      <c r="J662">
        <v>46031</v>
      </c>
      <c r="K662" t="str">
        <v>Smiths</v>
      </c>
      <c r="L662">
        <v>47735</v>
      </c>
      <c r="M662">
        <v>46015</v>
      </c>
      <c r="N662" t="str">
        <v/>
      </c>
      <c r="O662" t="str">
        <v>Yes</v>
      </c>
      <c r="P662">
        <v>32.320723</v>
      </c>
      <c r="Q662">
        <v>-64.729884</v>
      </c>
    </row>
    <row r="663" xml:space="preserve">
      <c r="A663" t="str">
        <v>B0269-25</v>
      </c>
      <c r="B663" t="str" xml:space="preserve">
        <v xml:space="preserve">56 Knapton Hill_x000d__x000d_
Smiths, HS01</v>
      </c>
      <c r="C663" t="str">
        <v>Permitted Development</v>
      </c>
      <c r="D663" t="str">
        <v>Complete</v>
      </c>
      <c r="E663">
        <v>45909</v>
      </c>
      <c r="F663" t="str">
        <v>Roof-mounted PV Solar System: 13 panels @ 450W/panel; 22.4 sq ft/ panel; Total system area 291.2 sq ft; Total DC Output 5.85 ; Annual Output 8,482 h; Total AC Output 5.03  | Tesla Powerwall: Tesla Powerwall3 @ 13.5 / Powerwall; Total System Capacity 13.5 ; 4.57 sq ft/ Powerwall; Total sq ft 4.57</v>
      </c>
      <c r="G663">
        <v>5.03</v>
      </c>
      <c r="H663" t="str">
        <v>Residential</v>
      </c>
      <c r="I663">
        <v>45883</v>
      </c>
      <c r="J663">
        <v>46035</v>
      </c>
      <c r="K663" t="str">
        <v>Smiths</v>
      </c>
      <c r="L663">
        <v>47735</v>
      </c>
      <c r="M663">
        <v>45982</v>
      </c>
      <c r="N663" t="str">
        <v/>
      </c>
      <c r="O663" t="str">
        <v>Yes</v>
      </c>
      <c r="P663">
        <v>32.3161713</v>
      </c>
      <c r="Q663">
        <v>-64.7224279</v>
      </c>
    </row>
    <row r="664" xml:space="preserve">
      <c r="A664" t="str">
        <v>B0132-25</v>
      </c>
      <c r="B664" t="str" xml:space="preserve">
        <v xml:space="preserve">185 South Road_x000d__x000d_
Paget, DV04</v>
      </c>
      <c r="C664" t="str">
        <v>Permitted Development</v>
      </c>
      <c r="D664" t="str">
        <v>Complete</v>
      </c>
      <c r="E664">
        <v>45909</v>
      </c>
      <c r="F664" t="str">
        <v>Proposed roof mounted PV Solar System 11 panels @ 430 W/ panel; 20.4 sq ft / panel: Total system area 224.40 sq. ft; Total DC Output 4.73 ; Annual Output 6,496 h; Total AC Output 4.06 .</v>
      </c>
      <c r="G664">
        <v>4.06</v>
      </c>
      <c r="H664" t="str">
        <v>Residential</v>
      </c>
      <c r="I664">
        <v>45769</v>
      </c>
      <c r="J664">
        <v>46038</v>
      </c>
      <c r="K664" t="str">
        <v>Paget</v>
      </c>
      <c r="L664">
        <v>47735</v>
      </c>
      <c r="M664">
        <v>46002</v>
      </c>
      <c r="N664" t="str">
        <v/>
      </c>
      <c r="O664" t="str">
        <v>Yes</v>
      </c>
      <c r="P664">
        <v>32.2936511</v>
      </c>
      <c r="Q664">
        <v>-64.7617649</v>
      </c>
    </row>
    <row r="665" xml:space="preserve">
      <c r="A665" t="str">
        <v>BC0075-25</v>
      </c>
      <c r="B665" t="str" xml:space="preserve">
        <v xml:space="preserve">8 Addendum Lane South_x000d__x000d_
Pembroke, HM07</v>
      </c>
      <c r="C665" t="str">
        <v>Building - Commercial</v>
      </c>
      <c r="D665" t="str">
        <v>Issued</v>
      </c>
      <c r="E665">
        <v>45912</v>
      </c>
      <c r="F665" t="str">
        <v>PV Solar System 216 panels @ 430W/panel; 21sq ft/panel; Total system area 4536 sq ft; Total DC output 92.88 ; Annual Output 12,865 h; Total AC Output 77.09</v>
      </c>
      <c r="G665">
        <v>77.09</v>
      </c>
      <c r="H665" t="str">
        <v>Building Commercial</v>
      </c>
      <c r="I665">
        <v>45855</v>
      </c>
      <c r="J665" t="str">
        <v/>
      </c>
      <c r="K665" t="str">
        <v>Pembroke</v>
      </c>
      <c r="L665">
        <v>47738</v>
      </c>
      <c r="M665">
        <v>46128</v>
      </c>
      <c r="N665" t="str">
        <v/>
      </c>
      <c r="O665" t="str">
        <v>Yes</v>
      </c>
      <c r="P665">
        <v>32.29855</v>
      </c>
      <c r="Q665">
        <v>-64.795771</v>
      </c>
    </row>
    <row r="666" xml:space="preserve">
      <c r="A666" t="str">
        <v>BR0023-25</v>
      </c>
      <c r="B666" t="str" xml:space="preserve">
        <v xml:space="preserve">19 Devon Point Lane_x000d__x000d_
Devonshire, FL05</v>
      </c>
      <c r="C666" t="str">
        <v>Building - Residential</v>
      </c>
      <c r="D666" t="str">
        <v>Issued</v>
      </c>
      <c r="E666">
        <v>45912</v>
      </c>
      <c r="F666" t="str" xml:space="preserve">
        <v xml:space="preserve">Proposed New Single 3 Bedroom Cottage Dwelling Unit, with Carport and Covered Porch, New Access to Estate Road with Grasscrete Driveway and 6Ft High Entrance Pillars, Roof Mounted Solar Panels New Boulder Seawall Revetment with Concrete Stairs to Foreshore._x000d_
25 Aptos DNA 120 panes @ 370 W/ panels; 19.64 sq ft /panels; Total system area 491 sq ft; Total DC Output 9.25 ; Annual Output 13,708 h; Total AC Output 37,469 /day</v>
      </c>
      <c r="G666">
        <v>9.25</v>
      </c>
      <c r="H666" t="str">
        <v>Building Residential</v>
      </c>
      <c r="I666">
        <v>45687</v>
      </c>
      <c r="J666" t="str">
        <v/>
      </c>
      <c r="K666" t="str">
        <v>Devonshire</v>
      </c>
      <c r="L666">
        <v>47738</v>
      </c>
      <c r="M666">
        <v>46210</v>
      </c>
      <c r="N666" t="str">
        <v/>
      </c>
      <c r="O666" t="str">
        <v>Yes</v>
      </c>
      <c r="P666">
        <v>32.301297</v>
      </c>
      <c r="Q666">
        <v>-64.743375</v>
      </c>
    </row>
    <row r="667" xml:space="preserve">
      <c r="A667" t="str">
        <v>B0039-25</v>
      </c>
      <c r="B667" t="str" xml:space="preserve">
        <v xml:space="preserve">4 Cliff Crescent_x000d__x000d_
Southampton, SB04</v>
      </c>
      <c r="C667" t="str">
        <v>Permitted Development</v>
      </c>
      <c r="D667" t="str">
        <v>Complete</v>
      </c>
      <c r="E667">
        <v>45915</v>
      </c>
      <c r="F667" t="str" xml:space="preserve">
        <v xml:space="preserve">PV Solar (solar panel square footage coverage is 127.38 square feet with a total capacity of 2.07) on top of pergoda_x000d__x000d_
?	6 solar panels @ 345 Watts per panel_x000d__x000d_
?	21.12 Sq. Ft. Per panel_x000d__x000d_
?	Total system area - 126.72 sq. Ft _x000d__x000d_
?	Total DC Output 2.07 _x000d__x000d_
?	Annual Output 5,274 h_x000d__x000d_
?	Total AC Output 3.255 </v>
      </c>
      <c r="G667">
        <v>3.255</v>
      </c>
      <c r="H667" t="str">
        <v>Residential</v>
      </c>
      <c r="I667">
        <v>45698</v>
      </c>
      <c r="J667">
        <v>46220</v>
      </c>
      <c r="K667" t="str">
        <v>Southampton</v>
      </c>
      <c r="L667">
        <v>47742</v>
      </c>
      <c r="M667">
        <v>46174</v>
      </c>
      <c r="N667" t="str">
        <v/>
      </c>
      <c r="O667" t="str">
        <v>Yes</v>
      </c>
      <c r="P667">
        <v>32.25617</v>
      </c>
      <c r="Q667">
        <v>-64.865239</v>
      </c>
    </row>
    <row r="668" xml:space="preserve">
      <c r="A668" t="str">
        <v>BC0069-25</v>
      </c>
      <c r="B668" t="str" xml:space="preserve">
        <v xml:space="preserve">6 Mill Reach Lane_x000d__x000d_
Pembroke, HM05</v>
      </c>
      <c r="C668" t="str">
        <v>Building - Commercial</v>
      </c>
      <c r="D668" t="str">
        <v>Issued</v>
      </c>
      <c r="E668">
        <v>45922</v>
      </c>
      <c r="F668" t="str" xml:space="preserve">
        <v xml:space="preserve">Addition of Roof Mounted Solar PV System. Additional 39 panels @ 490W/panel; Total Area 983.58 sq ft; Total DC output 19.11 ; Annual Output 311.13 h; Total AC Output 17.3 _x000d_
System Total 72 panels @ 490W/panel; Total Area 1967.16 sq ft; Total DC output 38,220 ; Annual Output 62.26 h; Total AC Output 34.6 </v>
      </c>
      <c r="G668">
        <v>34.6</v>
      </c>
      <c r="H668" t="str">
        <v>Building Commercial</v>
      </c>
      <c r="I668">
        <v>45835</v>
      </c>
      <c r="J668" t="str">
        <v/>
      </c>
      <c r="K668" t="str">
        <v>Pembroke</v>
      </c>
      <c r="L668">
        <v>47749</v>
      </c>
      <c r="M668">
        <v>45974</v>
      </c>
      <c r="N668" t="str">
        <v/>
      </c>
      <c r="O668" t="str">
        <v>Yes</v>
      </c>
      <c r="P668">
        <v>32.299117</v>
      </c>
      <c r="Q668">
        <v>-64.799605</v>
      </c>
    </row>
    <row r="669" xml:space="preserve">
      <c r="A669" t="str">
        <v>B0299-25</v>
      </c>
      <c r="B669" t="str" xml:space="preserve">
        <v xml:space="preserve">7 Rocklands View_x000d__x000d_
Warwick, WK07</v>
      </c>
      <c r="C669" t="str">
        <v>Permitted Development</v>
      </c>
      <c r="D669" t="str">
        <v>Complete</v>
      </c>
      <c r="E669">
        <v>45922</v>
      </c>
      <c r="F669" t="str">
        <v xml:space="preserve">Roof-mounted PV Solar System: 13 panels @ 450W/panel; 22.4 sq ft/ panel; Total system area 291.2 sq ft; Total DC Output 5.85 ; Annual Output 8,482 h; Total AC Output 5.03 </v>
      </c>
      <c r="G669">
        <v>5.03</v>
      </c>
      <c r="H669" t="str">
        <v>Residential</v>
      </c>
      <c r="I669">
        <v>45910</v>
      </c>
      <c r="J669">
        <v>46010</v>
      </c>
      <c r="K669" t="str">
        <v>Warwick</v>
      </c>
      <c r="L669">
        <v>47749</v>
      </c>
      <c r="M669">
        <v>45994</v>
      </c>
      <c r="N669" t="str">
        <v/>
      </c>
      <c r="O669" t="str">
        <v>Yes</v>
      </c>
      <c r="P669">
        <v>32.265453</v>
      </c>
      <c r="Q669">
        <v>-64.800223</v>
      </c>
    </row>
    <row r="670" xml:space="preserve">
      <c r="A670" t="str">
        <v>B0302-25</v>
      </c>
      <c r="B670" t="str" xml:space="preserve">
        <v xml:space="preserve">13A Middle Road_x000d__x000d_
Southampton, SB02</v>
      </c>
      <c r="C670" t="str">
        <v>Permitted Development</v>
      </c>
      <c r="D670" t="str">
        <v>Complete</v>
      </c>
      <c r="E670">
        <v>45925</v>
      </c>
      <c r="F670" t="str">
        <v>Roof-mounted PV Solar System: 20 panels @ 450W/panel; 22.4 sq ft/ panel; Total system area 448 sq ft; Total DC Output 9 ; Annual Output 13,050 h; Total AC Output 7.6  | Tesla Powerwall: Tesla Powerwall3 @ 13.5 / Powerwall; Total System Capacity 13.5 ; 4.57 sq ft/ Powerwall; Total sq ft 4.57</v>
      </c>
      <c r="G670">
        <v>7.6</v>
      </c>
      <c r="H670" t="str">
        <v>Residential</v>
      </c>
      <c r="I670">
        <v>45915</v>
      </c>
      <c r="J670">
        <v>46070</v>
      </c>
      <c r="K670" t="str">
        <v>Southampton</v>
      </c>
      <c r="L670">
        <v>47751</v>
      </c>
      <c r="M670">
        <v>46064</v>
      </c>
      <c r="N670" t="str">
        <v/>
      </c>
      <c r="O670" t="str">
        <v>Yes</v>
      </c>
      <c r="P670">
        <v>32.2625808</v>
      </c>
      <c r="Q670">
        <v>-64.8689376</v>
      </c>
    </row>
    <row r="671" xml:space="preserve">
      <c r="A671" t="str">
        <v>BC0106-25</v>
      </c>
      <c r="B671" t="str" xml:space="preserve">
        <v xml:space="preserve">9 Reid Street_x000d__x000d_
City of Hamilton, HM11</v>
      </c>
      <c r="C671" t="str">
        <v>Building - Commercial</v>
      </c>
      <c r="D671" t="str">
        <v>Complete</v>
      </c>
      <c r="E671">
        <v>45929</v>
      </c>
      <c r="F671" t="str" xml:space="preserve">
        <v xml:space="preserve">New PV Solar System 84 panels @ 370W/Panel, 19.6 sqft/Panel, New System Area 1596 sqft, New DC Output 31.08, AC Output 24.36,_x000d_
Annual Output 41604h, Existing PV System: DC Output 18.87, AC Output 14.79, 25260h Total PV System: DC Output 49.95, AC Output 39.15, Total Annual Output 66864h_x000d_
_x000d_
System Size: 31.08-DC, 24.36-AC_x000d_
1596sqft</v>
      </c>
      <c r="G671">
        <v>39.15</v>
      </c>
      <c r="H671" t="str">
        <v>Building Commercial</v>
      </c>
      <c r="I671">
        <v>45910</v>
      </c>
      <c r="J671">
        <v>45999</v>
      </c>
      <c r="K671" t="str">
        <v>City of Hamilton</v>
      </c>
      <c r="L671">
        <v>47756</v>
      </c>
      <c r="M671">
        <v>45993</v>
      </c>
      <c r="N671" t="str">
        <v/>
      </c>
      <c r="O671" t="str">
        <v>Yes</v>
      </c>
      <c r="P671">
        <v>32.293206</v>
      </c>
      <c r="Q671">
        <v>-64.785407</v>
      </c>
    </row>
    <row r="672" xml:space="preserve">
      <c r="A672" t="str">
        <v>B0286-25</v>
      </c>
      <c r="B672" t="str" xml:space="preserve">
        <v xml:space="preserve">4 Sears Hill Road_x000d__x000d_
Smiths, FL06</v>
      </c>
      <c r="C672" t="str">
        <v>Permitted Development</v>
      </c>
      <c r="D672" t="str">
        <v>Complete</v>
      </c>
      <c r="E672">
        <v>45936</v>
      </c>
      <c r="F672" t="str" xml:space="preserve">
        <v xml:space="preserve">Proposed Addition: 5 Panels Added to Existing PV System @ 450 W/Panel; 22.4 sq ft/Panel; Total (Added) sq ft 112 Total (Added) System Capacity 2.25 ; Total (Added) Annual Output 3,262 h_x000d_
_x000d_
Existing system: 14 panels @ 435 w/panel; 21.4 sq ft/panel; Total Sq ft_x000d_
299.6; Total System Capacity 6.09 ; Total Annual Output 8,831 h_x000d_
_x000d_
Total System: 411.6 sq ft; Total System Capacity 8.34; Total Annual Output 12,093 h</v>
      </c>
      <c r="G672">
        <v>8.34</v>
      </c>
      <c r="H672" t="str">
        <v>Residential</v>
      </c>
      <c r="I672">
        <v>45897</v>
      </c>
      <c r="J672">
        <v>45994</v>
      </c>
      <c r="K672" t="str">
        <v>Smiths</v>
      </c>
      <c r="L672">
        <v>47763</v>
      </c>
      <c r="M672">
        <v>45982</v>
      </c>
      <c r="N672" t="str">
        <v/>
      </c>
      <c r="O672" t="str">
        <v>Yes</v>
      </c>
      <c r="P672">
        <v>32.313466</v>
      </c>
      <c r="Q672">
        <v>-64.733358</v>
      </c>
    </row>
    <row r="673" xml:space="preserve">
      <c r="A673" t="str">
        <v>BC0094-24</v>
      </c>
      <c r="B673" t="str" xml:space="preserve">
        <v xml:space="preserve">2 Pomander Road_x000d__x000d_
Paget, BM PG05</v>
      </c>
      <c r="C673" t="str">
        <v>Building - Commercial</v>
      </c>
      <c r="D673" t="str">
        <v>Complete</v>
      </c>
      <c r="E673">
        <v>45938</v>
      </c>
      <c r="F673" t="str">
        <v>Car Park Pergola &amp; PV Solar System 38 panels @ 370W/panel; Total system area 746sqft; Total DC Output 14.06; Annual Output 17557h; Total AC Output 11.02</v>
      </c>
      <c r="G673">
        <v>11.02</v>
      </c>
      <c r="H673" t="str">
        <v>Building Commercial</v>
      </c>
      <c r="I673">
        <v>45527</v>
      </c>
      <c r="J673">
        <v>46139</v>
      </c>
      <c r="K673" t="str">
        <v>Paget</v>
      </c>
      <c r="L673">
        <v>47764</v>
      </c>
      <c r="M673">
        <v>46121</v>
      </c>
      <c r="N673" t="str">
        <v/>
      </c>
      <c r="O673" t="str">
        <v>Yes</v>
      </c>
      <c r="P673">
        <v>32.291976</v>
      </c>
      <c r="Q673">
        <v>-64.77466</v>
      </c>
    </row>
    <row r="674" xml:space="preserve">
      <c r="A674" t="str">
        <v>B0282-25</v>
      </c>
      <c r="B674" t="str" xml:space="preserve">
        <v xml:space="preserve">12 Spring Benny Road_x000d__x000d_
Sandys, SB03</v>
      </c>
      <c r="C674" t="str">
        <v>Permitted Development</v>
      </c>
      <c r="D674" t="str">
        <v>Issued</v>
      </c>
      <c r="E674">
        <v>45940</v>
      </c>
      <c r="F674" t="str" xml:space="preserve">
        <v xml:space="preserve">New Solar Panels PV Solar System 37 panels @ 320 W/panel; 16 sq.ft.  _x000d_
Total system area 592 sq ft; _x000d_
Total DC Output 11.2 ;_x000d_
Annual Output 15000 h;_x000d_
Total AC Output 8.4_x000d_
&amp; Reinstate pergola damaged in storm</v>
      </c>
      <c r="G674">
        <v>8.4</v>
      </c>
      <c r="H674" t="str">
        <v>Residential</v>
      </c>
      <c r="I674">
        <v>45895</v>
      </c>
      <c r="J674" t="str">
        <v/>
      </c>
      <c r="K674" t="str">
        <v>Sandys</v>
      </c>
      <c r="L674">
        <v>47766</v>
      </c>
      <c r="M674">
        <v>46021</v>
      </c>
      <c r="N674" t="str">
        <v/>
      </c>
      <c r="O674" t="str">
        <v>Yes</v>
      </c>
      <c r="P674">
        <v>32.2685473</v>
      </c>
      <c r="Q674">
        <v>-64.8763044</v>
      </c>
    </row>
    <row r="675" xml:space="preserve">
      <c r="A675" t="str">
        <v>BC0112-25</v>
      </c>
      <c r="B675" t="str" xml:space="preserve">
        <v xml:space="preserve">4 Maritime Lane_x000d__x000d_
Sandys, MA01</v>
      </c>
      <c r="C675" t="str">
        <v>Building - Commercial</v>
      </c>
      <c r="D675" t="str">
        <v>Complete</v>
      </c>
      <c r="E675">
        <v>45940</v>
      </c>
      <c r="F675" t="str" xml:space="preserve">
        <v xml:space="preserve">2x Roof Mounted Solar PV Systems, Total Area: 2835sqft, **LISTED BUILDING_x000d_
_x000d_
4 Maritime Lane, Sandys (Frog &amp; Onion): 93 panels @ 440W/Panel, 23.4sqft/Panel, System Area 2179sqft, DC Output 40.92,_x000d_
Annual Output 56196h, AC Output 26.97_x000d_
_x000d_
3 Victualling Yard, Sandys (Dockyard Brewing Co): 28 panels @ 440W/Panel, 23.4 sqft/Panel, System Area 656 sqft, DC Output 12.32 ,_x000d_
Annual Output 16987 h, AC Output  8.12,</v>
      </c>
      <c r="G675">
        <v>35.089999999999996</v>
      </c>
      <c r="H675" t="str">
        <v>Building Commercial</v>
      </c>
      <c r="I675">
        <v>45915</v>
      </c>
      <c r="J675">
        <v>45999</v>
      </c>
      <c r="K675" t="str">
        <v>Sandys</v>
      </c>
      <c r="L675">
        <v>47766</v>
      </c>
      <c r="M675">
        <v>45994</v>
      </c>
      <c r="N675" t="str">
        <v/>
      </c>
      <c r="O675" t="str">
        <v>Yes</v>
      </c>
      <c r="P675">
        <v>32.327933</v>
      </c>
      <c r="Q675">
        <v>-64.833677</v>
      </c>
    </row>
    <row r="676" xml:space="preserve">
      <c r="A676" t="str">
        <v>BR0162-25</v>
      </c>
      <c r="B676" t="str" xml:space="preserve">
        <v xml:space="preserve">4 Between The Walls_x000d__x000d_
Pembroke, HM06</v>
      </c>
      <c r="C676" t="str">
        <v>Building - Residential</v>
      </c>
      <c r="D676" t="str">
        <v>Complete</v>
      </c>
      <c r="E676">
        <v>45945</v>
      </c>
      <c r="F676" t="str">
        <v>PV Solar System 19 panels @ 430 W/panel; 20.40 sq.ft./panel; Total System area 387.60 sq.ft.; Total DC Output 8.17 ; Annual Output 11,221 h; Total AC Output 7.03 .</v>
      </c>
      <c r="G676">
        <v>7.03</v>
      </c>
      <c r="H676" t="str">
        <v>Building Residential</v>
      </c>
      <c r="I676">
        <v>45894</v>
      </c>
      <c r="J676">
        <v>46071</v>
      </c>
      <c r="K676" t="str">
        <v>Pembroke</v>
      </c>
      <c r="L676">
        <v>47771</v>
      </c>
      <c r="M676">
        <v>46049</v>
      </c>
      <c r="N676" t="str">
        <v/>
      </c>
      <c r="O676" t="str">
        <v>Yes</v>
      </c>
      <c r="P676">
        <v>32.2935498</v>
      </c>
      <c r="Q676">
        <v>-64.7936659</v>
      </c>
    </row>
    <row r="677" xml:space="preserve">
      <c r="A677" t="str">
        <v>BC0008-25</v>
      </c>
      <c r="B677" t="str" xml:space="preserve">
        <v xml:space="preserve">25 Serpentine Road_x000d__x000d_
Pembroke, HM07</v>
      </c>
      <c r="C677" t="str">
        <v>Building - Commercial</v>
      </c>
      <c r="D677" t="str">
        <v>Issued</v>
      </c>
      <c r="E677">
        <v>45946</v>
      </c>
      <c r="F677" t="str">
        <v>Solar panels installation 616 panels @ 410 W/panel; 20 sq.ft. per panel; Total Area 13334 sq. ft.; Total DC Output 252.56 ; Total AC output 200 ; Estimated Annual Output 340.3 MWh.</v>
      </c>
      <c r="G677">
        <v>200</v>
      </c>
      <c r="H677" t="str">
        <v>Building Commercial</v>
      </c>
      <c r="I677">
        <v>45673</v>
      </c>
      <c r="J677" t="str">
        <v/>
      </c>
      <c r="K677" t="str">
        <v>Pembroke</v>
      </c>
      <c r="L677">
        <v>47772</v>
      </c>
      <c r="M677">
        <v>45952</v>
      </c>
      <c r="N677" t="str">
        <v/>
      </c>
      <c r="O677" t="str">
        <v>Yes</v>
      </c>
      <c r="P677">
        <v>32.2956001</v>
      </c>
      <c r="Q677">
        <v>-64.7900269</v>
      </c>
    </row>
    <row r="678" xml:space="preserve">
      <c r="A678" t="str">
        <v>B0317-25</v>
      </c>
      <c r="B678" t="str" xml:space="preserve">
        <v xml:space="preserve">6 Long Point Lane_x000d__x000d_
Sandys, MA05</v>
      </c>
      <c r="C678" t="str">
        <v>Permitted Development</v>
      </c>
      <c r="D678" t="str">
        <v>Complete</v>
      </c>
      <c r="E678">
        <v>45953</v>
      </c>
      <c r="F678" t="str">
        <v>PV Solar System 21 panels @ 430 W/panel; 20.40 sq. ft./panel; Total System area 428.40 sq. ft.; Total DC Output 9.03 ; Annual Output 12,402h; Total AC Output 7.76, Energy Storage System total power rating 7.68; Energy storage capacity 10h</v>
      </c>
      <c r="G678">
        <v>7.76</v>
      </c>
      <c r="H678" t="str">
        <v>Residential</v>
      </c>
      <c r="I678">
        <v>45938</v>
      </c>
      <c r="J678">
        <v>46183</v>
      </c>
      <c r="K678" t="str">
        <v>Sandys</v>
      </c>
      <c r="L678">
        <v>47779</v>
      </c>
      <c r="M678">
        <v>46140</v>
      </c>
      <c r="N678" t="str">
        <v/>
      </c>
      <c r="O678" t="str">
        <v>Yes</v>
      </c>
      <c r="P678">
        <v>32.298171</v>
      </c>
      <c r="Q678">
        <v>-64.859054</v>
      </c>
    </row>
    <row r="679" xml:space="preserve">
      <c r="A679" t="str">
        <v>B0333-25</v>
      </c>
      <c r="B679" t="str" xml:space="preserve">
        <v xml:space="preserve">5 North Cote West_x000d__x000d_
Pembroke, HM01</v>
      </c>
      <c r="C679" t="str">
        <v>Permitted Development</v>
      </c>
      <c r="D679" t="str">
        <v>Complete</v>
      </c>
      <c r="E679">
        <v>45965</v>
      </c>
      <c r="F679" t="str" xml:space="preserve">
        <v xml:space="preserve">New Roof Mounted PV System 14 panels @ 370W/Panel, 19.6 sqft/Panel, New System Area 275 sqft, New DC Output 5.18, AC Output_x000d_
4.06, Annual Output 7797h</v>
      </c>
      <c r="G679">
        <v>4.06</v>
      </c>
      <c r="H679" t="str">
        <v>Residential</v>
      </c>
      <c r="I679">
        <v>45950</v>
      </c>
      <c r="J679">
        <v>46049</v>
      </c>
      <c r="K679" t="str">
        <v>Pembroke</v>
      </c>
      <c r="L679">
        <v>47791</v>
      </c>
      <c r="M679">
        <v>46043</v>
      </c>
      <c r="N679" t="str">
        <v/>
      </c>
      <c r="O679" t="str">
        <v>Yes</v>
      </c>
      <c r="P679">
        <v>32.303902</v>
      </c>
      <c r="Q679">
        <v>-64.811026</v>
      </c>
    </row>
    <row r="680" xml:space="preserve">
      <c r="A680" t="str">
        <v>B0340-25</v>
      </c>
      <c r="B680" t="str" xml:space="preserve">
        <v xml:space="preserve">9 Wilderness Lane_x000d__x000d_
Smiths, FL06</v>
      </c>
      <c r="C680" t="str">
        <v>Permitted Development</v>
      </c>
      <c r="D680" t="str">
        <v>Complete</v>
      </c>
      <c r="E680">
        <v>45965</v>
      </c>
      <c r="F680" t="str">
        <v>Roof Mounted PV System 6 panels @ 370W/Panel, 19.6 sqft/Panel, System Area 118 sqft, DC Output 2.22, AC Output 1.74, Annual Output 2904h</v>
      </c>
      <c r="G680">
        <v>1.74</v>
      </c>
      <c r="H680" t="str">
        <v>Residential</v>
      </c>
      <c r="I680">
        <v>45952</v>
      </c>
      <c r="J680">
        <v>46010</v>
      </c>
      <c r="K680" t="str">
        <v>Smiths</v>
      </c>
      <c r="L680">
        <v>47791</v>
      </c>
      <c r="M680">
        <v>45993</v>
      </c>
      <c r="N680" t="str">
        <v/>
      </c>
      <c r="O680" t="str">
        <v>Yes</v>
      </c>
      <c r="P680">
        <v>32.316752</v>
      </c>
      <c r="Q680">
        <v>-64.73161</v>
      </c>
    </row>
    <row r="681" xml:space="preserve">
      <c r="A681" t="str">
        <v>B0332-25</v>
      </c>
      <c r="B681" t="str" xml:space="preserve">
        <v xml:space="preserve">5 Friendly Lane_x000d__x000d_
Sandys, MA05</v>
      </c>
      <c r="C681" t="str">
        <v>Permitted Development</v>
      </c>
      <c r="D681" t="str">
        <v>Complete</v>
      </c>
      <c r="E681">
        <v>45965</v>
      </c>
      <c r="F681" t="str" xml:space="preserve">
        <v xml:space="preserve">New Roof Mounted PV System 9 panels @ 370W/Panel, 19.6 sqft/Panel, New System Area 177 sqft, New DC Output 3.33, AC Output_x000d_
2.61, Annual Output 4111h</v>
      </c>
      <c r="G681">
        <v>2.61</v>
      </c>
      <c r="H681" t="str">
        <v>Residential</v>
      </c>
      <c r="I681">
        <v>45950</v>
      </c>
      <c r="J681">
        <v>45989</v>
      </c>
      <c r="K681" t="str">
        <v>Sandys</v>
      </c>
      <c r="L681">
        <v>47791</v>
      </c>
      <c r="M681">
        <v>45988</v>
      </c>
      <c r="N681" t="str">
        <v/>
      </c>
      <c r="O681" t="str">
        <v>Yes</v>
      </c>
      <c r="P681">
        <v>32.295811</v>
      </c>
      <c r="Q681">
        <v>-64.867647</v>
      </c>
    </row>
    <row r="682" xml:space="preserve">
      <c r="A682" t="str">
        <v>B0329-25</v>
      </c>
      <c r="B682" t="str" xml:space="preserve">
        <v xml:space="preserve">10 Vickers Bay Road_x000d__x000d_
Devonshire, DV07</v>
      </c>
      <c r="C682" t="str">
        <v>Permitted Development</v>
      </c>
      <c r="D682" t="str">
        <v>Complete</v>
      </c>
      <c r="E682">
        <v>45965</v>
      </c>
      <c r="F682" t="str" xml:space="preserve">
        <v xml:space="preserve">New Roof Mounted PV System 19 panels @ 370W/Panel, 19.6 sqft/Panel, New System Area 373 sqft, New DC Output 7.03, AC Output_x000d_
5.51, Annual Output 9947h, New 15h wall mounted battery system</v>
      </c>
      <c r="G682">
        <v>5.51</v>
      </c>
      <c r="H682" t="str">
        <v>Residential</v>
      </c>
      <c r="I682">
        <v>45947</v>
      </c>
      <c r="J682">
        <v>45989</v>
      </c>
      <c r="K682" t="str">
        <v>Devonshire</v>
      </c>
      <c r="L682">
        <v>47791</v>
      </c>
      <c r="M682">
        <v>45988</v>
      </c>
      <c r="N682" t="str">
        <v/>
      </c>
      <c r="O682" t="str">
        <v>Yes</v>
      </c>
      <c r="P682">
        <v>32.294555</v>
      </c>
      <c r="Q682">
        <v>-64.753803</v>
      </c>
    </row>
    <row r="683" xml:space="preserve">
      <c r="A683" t="str">
        <v>B0328-25</v>
      </c>
      <c r="B683" t="str" xml:space="preserve">
        <v xml:space="preserve">7 Sunning Lane_x000d__x000d_
Warwick, WK04</v>
      </c>
      <c r="C683" t="str">
        <v>Permitted Development</v>
      </c>
      <c r="D683" t="str">
        <v>Complete</v>
      </c>
      <c r="E683">
        <v>45965</v>
      </c>
      <c r="F683" t="str" xml:space="preserve">
        <v xml:space="preserve">New Roof Mounted PV System 16 panels @ 370W/Panel, 19.6 sqft/Panel, New System Area 314 sqft, New DC Output 5.92, AC Output_x000d_
4.64, Annual Output 6909h, New 5h wall mounted battery system</v>
      </c>
      <c r="G683">
        <v>4.64</v>
      </c>
      <c r="H683" t="str">
        <v>Residential</v>
      </c>
      <c r="I683">
        <v>45946</v>
      </c>
      <c r="J683">
        <v>45995</v>
      </c>
      <c r="K683" t="str">
        <v>Warwick</v>
      </c>
      <c r="L683">
        <v>47791</v>
      </c>
      <c r="M683">
        <v>45993</v>
      </c>
      <c r="N683" t="str">
        <v/>
      </c>
      <c r="O683" t="str">
        <v>Yes</v>
      </c>
      <c r="P683">
        <v>32.267609</v>
      </c>
      <c r="Q683">
        <v>-64.81484</v>
      </c>
    </row>
    <row r="684" xml:space="preserve">
      <c r="A684" t="str">
        <v>B0334-25</v>
      </c>
      <c r="B684" t="str" xml:space="preserve">
        <v xml:space="preserve">64 Spanish Point Road_x000d__x000d_
Pembroke, HM02</v>
      </c>
      <c r="C684" t="str">
        <v>Permitted Development</v>
      </c>
      <c r="D684" t="str">
        <v>Complete</v>
      </c>
      <c r="E684">
        <v>45965</v>
      </c>
      <c r="F684" t="str">
        <v>Roof-mounted PV Solar System: 11 panels @ 450W/panel; 22.4 sq ft/ panel; Total system area 246.4 sq ft; Total DC Output 4.95 ; Annual Output 7,177 h; Total AC Output 4.24  | Tesla Powerwall: Tesla Powerwall3 @ 13.5 / Powerwall; Total System Capacity 13.5 ; 4.57 sq ft/ Powerwall; Total sq ft 4.57</v>
      </c>
      <c r="G684">
        <v>4.24</v>
      </c>
      <c r="H684" t="str">
        <v>Residential</v>
      </c>
      <c r="I684">
        <v>45951</v>
      </c>
      <c r="J684">
        <v>46071</v>
      </c>
      <c r="K684" t="str">
        <v>Pembroke</v>
      </c>
      <c r="L684">
        <v>47791</v>
      </c>
      <c r="M684">
        <v>46069</v>
      </c>
      <c r="N684" t="str">
        <v/>
      </c>
      <c r="O684" t="str">
        <v>Yes</v>
      </c>
      <c r="P684">
        <v>32.305804</v>
      </c>
      <c r="Q684">
        <v>-64.807741</v>
      </c>
    </row>
    <row r="685" xml:space="preserve">
      <c r="A685" t="str">
        <v>B0341-25</v>
      </c>
      <c r="B685" t="str" xml:space="preserve">
        <v xml:space="preserve">17 Mcgall's Bay Road_x000d__x000d_
Smiths, FL05</v>
      </c>
      <c r="C685" t="str">
        <v>Permitted Development</v>
      </c>
      <c r="D685" t="str">
        <v>Complete</v>
      </c>
      <c r="E685">
        <v>45965</v>
      </c>
      <c r="F685" t="str">
        <v>New Roof Mounted PV System 10 panels @ 370W/Panel, 19.6 sqft/Panel, New System Area 196 sqft, New DC Output 3.7, AC Output 2.9, Annual Output 5150h, Existing PV System: DC Output 9.99, AC Output 7.83, Annual Output 12222h, Total PV System: DC Output 13.69, AC Output 10.73, Total Annual Output 17372h, New 20h wall mounted battery system</v>
      </c>
      <c r="G685">
        <v>10.73</v>
      </c>
      <c r="H685" t="str">
        <v>Residential</v>
      </c>
      <c r="I685">
        <v>45952</v>
      </c>
      <c r="J685">
        <v>46140</v>
      </c>
      <c r="K685" t="str">
        <v>Smiths</v>
      </c>
      <c r="L685">
        <v>47791</v>
      </c>
      <c r="M685">
        <v>46107</v>
      </c>
      <c r="N685" t="str">
        <v/>
      </c>
      <c r="O685" t="str">
        <v>Yes</v>
      </c>
      <c r="P685">
        <v>32.3108347</v>
      </c>
      <c r="Q685">
        <v>-64.7305954</v>
      </c>
    </row>
    <row r="686" xml:space="preserve">
      <c r="A686" t="str">
        <v>B0289-25</v>
      </c>
      <c r="B686" t="str" xml:space="preserve">
        <v xml:space="preserve">59 South Road_x000d__x000d_
Southampton, SN01</v>
      </c>
      <c r="C686" t="str">
        <v>Permitted Development</v>
      </c>
      <c r="D686" t="str">
        <v>Complete</v>
      </c>
      <c r="E686">
        <v>45967</v>
      </c>
      <c r="F686" t="str">
        <v>Roof Mounted Solar PV System: 28 Panels @ 450 W/Panel; 22.4 sq ft/Panel; Total sq ft 627.2; Total DC Output 12.6 ; Total AC Output 10.84 ; Total Annual Output 18,270 h | Tesla Powerwall: 1 Tesla Powerwall3 @ 13.5 / Powerwall; Total System Capacity 13.5 ; 4.57 sq ft/ Powerwall; Total sq ft 4.57</v>
      </c>
      <c r="G686">
        <v>10.84</v>
      </c>
      <c r="H686" t="str">
        <v>Residential</v>
      </c>
      <c r="I686">
        <v>45898</v>
      </c>
      <c r="J686">
        <v>46073</v>
      </c>
      <c r="K686" t="str">
        <v>Southampton</v>
      </c>
      <c r="L686">
        <v>47793</v>
      </c>
      <c r="M686">
        <v>46072</v>
      </c>
      <c r="N686" t="str">
        <v/>
      </c>
      <c r="O686" t="str">
        <v>Yes</v>
      </c>
      <c r="P686">
        <v>32.2496504</v>
      </c>
      <c r="Q686">
        <v>-64.8415077</v>
      </c>
    </row>
    <row r="687" xml:space="preserve">
      <c r="A687" t="str">
        <v>B0342-25</v>
      </c>
      <c r="B687" t="str" xml:space="preserve">
        <v xml:space="preserve">9 Gables Lane_x000d__x000d_
Devonshire, DV07</v>
      </c>
      <c r="C687" t="str">
        <v>Permitted Development</v>
      </c>
      <c r="D687" t="str">
        <v>Complete</v>
      </c>
      <c r="E687">
        <v>45967</v>
      </c>
      <c r="F687" t="str">
        <v>Roof-mounted PV Solar System: 20 panels @ 450W/panel; 22.4 sq ft/ panel; Total system area 448 sq ft; Total DC Output 9 ; Annual Output 13,050 h; Total AC Output 7.6  | Tesla Powerwall: Tesla Powerwall3 @ 13.5 / Powerwall; Total System Capacity 13.5 ; 4.57 sq ft/ Powerwall; Total sq ft 4.57</v>
      </c>
      <c r="G687">
        <v>7.6</v>
      </c>
      <c r="H687" t="str">
        <v>Residential</v>
      </c>
      <c r="I687">
        <v>45952</v>
      </c>
      <c r="J687">
        <v>46056</v>
      </c>
      <c r="K687" t="str">
        <v>Devonshire</v>
      </c>
      <c r="L687">
        <v>47793</v>
      </c>
      <c r="M687">
        <v>46051</v>
      </c>
      <c r="N687" t="str">
        <v/>
      </c>
      <c r="O687" t="str">
        <v>Yes</v>
      </c>
      <c r="P687">
        <v>32.293739</v>
      </c>
      <c r="Q687">
        <v>-64.754742</v>
      </c>
    </row>
    <row r="688" xml:space="preserve">
      <c r="A688" t="str">
        <v>B0346-25</v>
      </c>
      <c r="B688" t="str" xml:space="preserve">
        <v xml:space="preserve">17 Stowe Hill_x000d__x000d_
Paget, PG05</v>
      </c>
      <c r="C688" t="str">
        <v>Permitted Development</v>
      </c>
      <c r="D688" t="str">
        <v>Complete</v>
      </c>
      <c r="E688">
        <v>45967</v>
      </c>
      <c r="F688" t="str" xml:space="preserve">
        <v xml:space="preserve">Roof Top PV Solar System, 33 Panels @435W/panel; 21.1 sq ft/panel; Total system area 730 sq. ft.;_x000d_
Total DC Output 14.4; Annual Output 22,361h; Total AC Output 13.97</v>
      </c>
      <c r="G688">
        <v>13.97</v>
      </c>
      <c r="H688" t="str">
        <v>Residential</v>
      </c>
      <c r="I688">
        <v>45954</v>
      </c>
      <c r="J688">
        <v>46136</v>
      </c>
      <c r="K688" t="str">
        <v>Paget</v>
      </c>
      <c r="L688">
        <v>47793</v>
      </c>
      <c r="M688">
        <v>46129</v>
      </c>
      <c r="N688" t="str">
        <v/>
      </c>
      <c r="O688" t="str">
        <v>Yes</v>
      </c>
      <c r="P688">
        <v>32.2879876</v>
      </c>
      <c r="Q688">
        <v>-64.7724496</v>
      </c>
    </row>
    <row r="689" xml:space="preserve">
      <c r="A689" t="str">
        <v>BC0104-25</v>
      </c>
      <c r="B689" t="str" xml:space="preserve">
        <v xml:space="preserve">1 Addendum Lane_x000d__x000d_
Pembroke, HM07</v>
      </c>
      <c r="C689" t="str">
        <v>Building - Commercial</v>
      </c>
      <c r="D689" t="str">
        <v>Issued</v>
      </c>
      <c r="E689">
        <v>45975</v>
      </c>
      <c r="F689" t="str">
        <v xml:space="preserve">Proposed roof mounted PV Solar System 40 panels @ 430 W/panel; 21.50 sq ft/ panel; Total system area 860 sq ft; DC Output 17.20 ; Annual Output 23,494h; Total AC Output 14.79 </v>
      </c>
      <c r="G689">
        <v>14.79</v>
      </c>
      <c r="H689" t="str">
        <v>Building Commercial</v>
      </c>
      <c r="I689">
        <v>45910</v>
      </c>
      <c r="J689" t="str">
        <v/>
      </c>
      <c r="K689" t="str">
        <v>Pembroke</v>
      </c>
      <c r="L689">
        <v>47801</v>
      </c>
      <c r="M689" t="str">
        <v/>
      </c>
      <c r="N689" t="str">
        <v/>
      </c>
      <c r="O689" t="str">
        <v>Yes</v>
      </c>
      <c r="P689">
        <v>32.299362</v>
      </c>
      <c r="Q689">
        <v>-64.797549</v>
      </c>
    </row>
    <row r="690" xml:space="preserve">
      <c r="A690" t="str">
        <v>BR0210-25</v>
      </c>
      <c r="B690" t="str" xml:space="preserve">
        <v xml:space="preserve">69 Mangrove Bay Road_x000d__x000d_
Sandys, MA02</v>
      </c>
      <c r="C690" t="str">
        <v>Building - Residential</v>
      </c>
      <c r="D690" t="str">
        <v>Complete</v>
      </c>
      <c r="E690">
        <v>45986</v>
      </c>
      <c r="F690" t="str" xml:space="preserve">
        <v xml:space="preserve">Proposed Roof-Mounted Solar PV System: 15 Panels @ 450 W/Panel; 22.4 Sq Ft/Panel; Total Sq Ft 336; Total DC Output 6.75 ; Total AC Output 5.7; Total Annual Output 9,787 h (Listed Building)_x000d_
*Note: Building only P0262-25</v>
      </c>
      <c r="G690">
        <v>5.7</v>
      </c>
      <c r="H690" t="str">
        <v>Building Residential</v>
      </c>
      <c r="I690">
        <v>45975</v>
      </c>
      <c r="J690">
        <v>46132</v>
      </c>
      <c r="K690" t="str">
        <v>Sandys</v>
      </c>
      <c r="L690">
        <v>47812</v>
      </c>
      <c r="M690">
        <v>46125</v>
      </c>
      <c r="N690" t="str">
        <v/>
      </c>
      <c r="O690" t="str">
        <v>Yes</v>
      </c>
      <c r="P690">
        <v>32.3033237</v>
      </c>
      <c r="Q690">
        <v>-64.8640225</v>
      </c>
    </row>
    <row r="691" xml:space="preserve">
      <c r="A691" t="str">
        <v>BR0014-25</v>
      </c>
      <c r="B691" t="str" xml:space="preserve">
        <v xml:space="preserve">6 Sylvan Dell Road_x000d__x000d_
Paget, PG04</v>
      </c>
      <c r="C691" t="str">
        <v>Building - Residential</v>
      </c>
      <c r="D691" t="str">
        <v>Issued</v>
      </c>
      <c r="E691">
        <v>45986</v>
      </c>
      <c r="F691" t="str">
        <v>NEW STORAGE BUILDING WITH ROOF TOP SOLAR PANELS. 6 panels @ 395W/panel 21.6 sqft /panel; Total Area 130 sq ft; Total DC output 2.37, Annual Output 5,037 h</v>
      </c>
      <c r="G691">
        <v>2.37</v>
      </c>
      <c r="H691" t="str">
        <v>Building Residential</v>
      </c>
      <c r="I691">
        <v>45677</v>
      </c>
      <c r="J691" t="str">
        <v/>
      </c>
      <c r="K691" t="str">
        <v>Paget</v>
      </c>
      <c r="L691">
        <v>47812</v>
      </c>
      <c r="M691">
        <v>46211</v>
      </c>
      <c r="N691" t="str">
        <v/>
      </c>
      <c r="O691" t="str">
        <v>Yes</v>
      </c>
      <c r="P691">
        <v>32.274754</v>
      </c>
      <c r="Q691">
        <v>-64.784855</v>
      </c>
    </row>
    <row r="692" xml:space="preserve">
      <c r="A692" t="str">
        <v>B0368-25</v>
      </c>
      <c r="B692" t="str" xml:space="preserve">
        <v xml:space="preserve">22 Daisyfield Drive_x000d__x000d_
Sandys, MA05</v>
      </c>
      <c r="C692" t="str">
        <v>Permitted Development</v>
      </c>
      <c r="D692" t="str">
        <v>Complete</v>
      </c>
      <c r="E692">
        <v>45989</v>
      </c>
      <c r="F692" t="str" xml:space="preserve">
        <v xml:space="preserve">New Roof Mounted PV System 16 panels @ 370W/Panel, 19.6 sqft/Panel, New System Area 314 sqft, New DC Output 5.92, AC Output_x000d_
4.64, Annual Output 7799h, New 10h wall mounted battery system</v>
      </c>
      <c r="G692">
        <v>4.64</v>
      </c>
      <c r="H692" t="str">
        <v>Residential</v>
      </c>
      <c r="I692">
        <v>45981</v>
      </c>
      <c r="J692">
        <v>46064</v>
      </c>
      <c r="K692" t="str">
        <v>Sandys</v>
      </c>
      <c r="L692">
        <v>47815</v>
      </c>
      <c r="M692">
        <v>46056</v>
      </c>
      <c r="N692" t="str">
        <v/>
      </c>
      <c r="O692" t="str">
        <v>Yes</v>
      </c>
      <c r="P692">
        <v>32.297097</v>
      </c>
      <c r="Q692">
        <v>-64.864832</v>
      </c>
    </row>
    <row r="693" xml:space="preserve">
      <c r="A693" t="str">
        <v>BC0139-25</v>
      </c>
      <c r="B693" t="str" xml:space="preserve">
        <v xml:space="preserve">23 Church Street_x000d__x000d_
City of Hamilton, HM11</v>
      </c>
      <c r="C693" t="str">
        <v>Building - Commercial</v>
      </c>
      <c r="D693" t="str">
        <v>Issued</v>
      </c>
      <c r="E693">
        <v>45993</v>
      </c>
      <c r="F693" t="str">
        <v>Solar Addition. 108 modules, 420w/module. 20.84sf/module. Total wattage, 45,360w. Total Area, 2,250.72sf. Estimated annual Yield, 67,530h 3 17.3k SolarEdge inverters</v>
      </c>
      <c r="G693">
        <v>45.36</v>
      </c>
      <c r="H693" t="str">
        <v>Building Commercial</v>
      </c>
      <c r="I693">
        <v>45973</v>
      </c>
      <c r="J693" t="str">
        <v/>
      </c>
      <c r="K693" t="str">
        <v>City of Hamilton</v>
      </c>
      <c r="L693">
        <v>47819</v>
      </c>
      <c r="M693" t="str">
        <v/>
      </c>
      <c r="N693" t="str">
        <v/>
      </c>
      <c r="O693" t="str">
        <v>Yes</v>
      </c>
      <c r="P693">
        <v>32.2939525</v>
      </c>
      <c r="Q693">
        <v>-64.7850759</v>
      </c>
    </row>
    <row r="694" xml:space="preserve">
      <c r="A694" t="str">
        <v>B0347-25</v>
      </c>
      <c r="B694" t="str" xml:space="preserve">
        <v xml:space="preserve">5 Fort George Hill_x000d__x000d_
Town of St. George, GE02</v>
      </c>
      <c r="C694" t="str">
        <v>Permitted Development</v>
      </c>
      <c r="D694" t="str">
        <v>Issued</v>
      </c>
      <c r="E694">
        <v>45993</v>
      </c>
      <c r="F694" t="str">
        <v>PV Solar System 12 panels @ 430 W/panel; 20.40 sq.ft./panel; Total System area 244.80 sq.ft.; Total DC Output 5.16 ; Annual Output 6,686h; Total AC Output 4.44, Energy Storage System total power rating 15.36; Energy storage capacity 20h</v>
      </c>
      <c r="G694">
        <v>4.44</v>
      </c>
      <c r="H694" t="str">
        <v>Residential</v>
      </c>
      <c r="I694">
        <v>45954</v>
      </c>
      <c r="J694" t="str">
        <v/>
      </c>
      <c r="K694" t="str">
        <v>Town of St. George</v>
      </c>
      <c r="L694">
        <v>47819</v>
      </c>
      <c r="M694">
        <v>46140</v>
      </c>
      <c r="N694" t="str">
        <v/>
      </c>
      <c r="O694" t="str">
        <v>Yes</v>
      </c>
      <c r="P694">
        <v>32.379419</v>
      </c>
      <c r="Q694">
        <v>-64.682268</v>
      </c>
    </row>
    <row r="695" xml:space="preserve">
      <c r="A695" t="str">
        <v>B0377-25</v>
      </c>
      <c r="B695" t="str" xml:space="preserve">
        <v xml:space="preserve">8 Rock Garden Lane_x000d__x000d_
Smiths, FL06</v>
      </c>
      <c r="C695" t="str">
        <v>Permitted Development</v>
      </c>
      <c r="D695" t="str">
        <v>Complete</v>
      </c>
      <c r="E695">
        <v>46000</v>
      </c>
      <c r="F695" t="str">
        <v>Roof-mounted PV Solar System: 21 panels @ 440W/panel; 20.9 sq ft/ panel; Total system area 440.9 sq ft; Total DC Output 9.24 ; Annual Output 13,398 h; Total AC Output 7.32  | Tesla Powerwall: Tesla Powerwall3 @ 13.5 / Powerwall; Total System Capacity 13.5 ; 4.57 sq ft/ Powerwall; Total sq ft 4.57</v>
      </c>
      <c r="G695">
        <v>7.32</v>
      </c>
      <c r="H695" t="str">
        <v>Residential</v>
      </c>
      <c r="I695">
        <v>45992</v>
      </c>
      <c r="J695">
        <v>46139</v>
      </c>
      <c r="K695" t="str">
        <v>Smiths</v>
      </c>
      <c r="L695">
        <v>47826</v>
      </c>
      <c r="M695">
        <v>46107</v>
      </c>
      <c r="N695" t="str">
        <v/>
      </c>
      <c r="O695" t="str">
        <v>Yes</v>
      </c>
      <c r="P695">
        <v>32.317401</v>
      </c>
      <c r="Q695">
        <v>-64.72551</v>
      </c>
    </row>
    <row r="696" xml:space="preserve">
      <c r="A696" t="str">
        <v>B0375-25</v>
      </c>
      <c r="B696" t="str" xml:space="preserve">
        <v xml:space="preserve">30 Castile Road_x000d__x000d_
Warwick, WK04</v>
      </c>
      <c r="C696" t="str">
        <v>Permitted Development</v>
      </c>
      <c r="D696" t="str">
        <v>Issued</v>
      </c>
      <c r="E696">
        <v>46002</v>
      </c>
      <c r="F696" t="str" xml:space="preserve">
        <v xml:space="preserve">New PV Solar System 16 panels @ 440W/Panel, 23.2 sqft/Panel, New System Area 372 sqft, New DC Output 7.04, AC Output 5.58,_x000d_
Annual Output 9936h</v>
      </c>
      <c r="G696">
        <v>5.58</v>
      </c>
      <c r="H696" t="str">
        <v>Residential</v>
      </c>
      <c r="I696">
        <v>45988</v>
      </c>
      <c r="J696" t="str">
        <v/>
      </c>
      <c r="K696" t="str">
        <v>Warwick</v>
      </c>
      <c r="L696">
        <v>47828</v>
      </c>
      <c r="M696">
        <v>46177</v>
      </c>
      <c r="N696" t="str">
        <v/>
      </c>
      <c r="O696" t="str">
        <v>Yes</v>
      </c>
      <c r="P696">
        <v>32.317401</v>
      </c>
      <c r="Q696">
        <v>-64.72551</v>
      </c>
    </row>
    <row r="697" xml:space="preserve">
      <c r="A697" t="str">
        <v>B0381-25</v>
      </c>
      <c r="B697" t="str" xml:space="preserve">
        <v xml:space="preserve">3A Spanish Heights Road_x000d__x000d_
Smiths, FL06</v>
      </c>
      <c r="C697" t="str">
        <v>Permitted Development</v>
      </c>
      <c r="D697" t="str">
        <v>Complete</v>
      </c>
      <c r="E697">
        <v>46013</v>
      </c>
      <c r="F697" t="str" xml:space="preserve">
        <v xml:space="preserve">New Roof Mounted PV System 22 panels @ 370W/Panel, 19.6 sqft/Panel, New System Area 432 sqft, New DC Output 8.14, AC Output_x000d_
6.38, Annual Output 11447h,* Revision 1: adjust layout of modules on roof</v>
      </c>
      <c r="G697">
        <v>6.38</v>
      </c>
      <c r="H697" t="str">
        <v>Residential</v>
      </c>
      <c r="I697">
        <v>45995</v>
      </c>
      <c r="J697">
        <v>46064</v>
      </c>
      <c r="K697" t="str">
        <v>Smiths</v>
      </c>
      <c r="L697">
        <v>47840</v>
      </c>
      <c r="M697">
        <v>46058</v>
      </c>
      <c r="N697" t="str">
        <v/>
      </c>
      <c r="O697" t="str">
        <v>Yes</v>
      </c>
      <c r="P697">
        <v>32.316404</v>
      </c>
      <c r="Q697">
        <v>-64.726281</v>
      </c>
    </row>
    <row r="698" xml:space="preserve">
      <c r="A698" t="str">
        <v>B0383-25</v>
      </c>
      <c r="B698" t="str" xml:space="preserve">
        <v xml:space="preserve">30 Pomander Road_x000d__x000d_
Paget, PG05</v>
      </c>
      <c r="C698" t="str">
        <v>Permitted Development</v>
      </c>
      <c r="D698" t="str">
        <v>Issued</v>
      </c>
      <c r="E698">
        <v>46013</v>
      </c>
      <c r="F698" t="str" xml:space="preserve">
        <v xml:space="preserve">PV Solar System 29 panels @ 430 W/panel; 20.40 sq.ft./panel; Total System area 591.60 sq.ft.; Total DC Output 12.47 ; Annual Output 16,157h; Total AC Output 10.72. _x000d_
Energy Storage System total power rating 15.36; Energy storage capacity 20h</v>
      </c>
      <c r="G698">
        <v>10.72</v>
      </c>
      <c r="H698" t="str">
        <v>Residential</v>
      </c>
      <c r="I698">
        <v>45996</v>
      </c>
      <c r="J698" t="str">
        <v/>
      </c>
      <c r="K698" t="str">
        <v>Paget</v>
      </c>
      <c r="L698">
        <v>47840</v>
      </c>
      <c r="M698">
        <v>46066</v>
      </c>
      <c r="N698" t="str">
        <v/>
      </c>
      <c r="O698" t="str">
        <v>Yes</v>
      </c>
      <c r="P698">
        <v>32.291125</v>
      </c>
      <c r="Q698">
        <v>-64.7740484</v>
      </c>
    </row>
    <row r="699" xml:space="preserve">
      <c r="A699" t="str">
        <v>B0390-25</v>
      </c>
      <c r="B699" t="str" xml:space="preserve">
        <v xml:space="preserve">11 Seabright Avenue_x000d__x000d_
Paget, DV04</v>
      </c>
      <c r="C699" t="str">
        <v>Permitted Development</v>
      </c>
      <c r="D699" t="str">
        <v>Complete</v>
      </c>
      <c r="E699">
        <v>46013</v>
      </c>
      <c r="F699" t="str" xml:space="preserve">
        <v xml:space="preserve">New Roof Mounted PV System 18 panels @ 370W/Panel, 19.6 sqft/Panel, New System Area 354 sqft, New DC Output 6.66, AC Output_x000d_
5.22, Annual Output 7497h, Existing PV System: DC Output 10.23, AC Output 9.77, Annual Output 14400h, Total PV System:_x000d_
DC Output 16.89, AC Output 14.99, Total Annual Output 21897h, New 10.08h wall mounted battery system, 20h existing</v>
      </c>
      <c r="G699">
        <v>14.99</v>
      </c>
      <c r="H699" t="str">
        <v>Residential</v>
      </c>
      <c r="I699">
        <v>46002</v>
      </c>
      <c r="J699">
        <v>46133</v>
      </c>
      <c r="K699" t="str">
        <v>Paget</v>
      </c>
      <c r="L699">
        <v>47840</v>
      </c>
      <c r="M699">
        <v>46104</v>
      </c>
      <c r="N699" t="str">
        <v/>
      </c>
      <c r="O699" t="str">
        <v>Yes</v>
      </c>
      <c r="P699">
        <v>32.287818</v>
      </c>
      <c r="Q699">
        <v>-64.761253</v>
      </c>
    </row>
    <row r="700" xml:space="preserve">
      <c r="A700" t="str">
        <v>BC0150-25</v>
      </c>
      <c r="B700" t="str" xml:space="preserve">
        <v xml:space="preserve">31 Queen Street_x000d__x000d_
City of Hamilton, HM11</v>
      </c>
      <c r="C700" t="str">
        <v>Building - Commercial</v>
      </c>
      <c r="D700" t="str">
        <v>Issued</v>
      </c>
      <c r="E700">
        <v>46021</v>
      </c>
      <c r="F700" t="str" xml:space="preserve">
        <v xml:space="preserve">Proposed roof mounted PV solar system (122 panels total); @ 430 W per panel; @ 21 sq ft per panel; Total system area 2,562 sq ft.;_x000d_
Annual Total system Output 71,068 h; Total DC output 52.46 ; Total AC output 44.12 .</v>
      </c>
      <c r="G700">
        <v>44.12</v>
      </c>
      <c r="H700" t="str">
        <v>Building Commercial</v>
      </c>
      <c r="I700">
        <v>45996</v>
      </c>
      <c r="J700" t="str">
        <v/>
      </c>
      <c r="K700" t="str">
        <v>City of Hamilton</v>
      </c>
      <c r="L700">
        <v>47847</v>
      </c>
      <c r="M700">
        <v>46127</v>
      </c>
      <c r="N700" t="str">
        <v/>
      </c>
      <c r="O700" t="str">
        <v>Yes</v>
      </c>
      <c r="P700">
        <v>32.2938591</v>
      </c>
      <c r="Q700">
        <v>-64.7863756</v>
      </c>
    </row>
    <row r="701" xml:space="preserve">
      <c r="A701" t="str">
        <v>B0003-26</v>
      </c>
      <c r="B701" t="str" xml:space="preserve">
        <v xml:space="preserve">9 Harrington Sound Road_x000d__x000d_
Hamilton, HS02, Bermuda</v>
      </c>
      <c r="C701" t="str">
        <v>Permitted Development</v>
      </c>
      <c r="D701" t="str">
        <v>Complete</v>
      </c>
      <c r="E701">
        <v>46036</v>
      </c>
      <c r="F701" t="str" xml:space="preserve">
        <v xml:space="preserve">Roof Mounted PV System: 25 panels @ 370W/panel, 19.6 sqft/panel, System Area 491 sqft. DC Output 9.25 , AC Output 7.25 , Annual Output_x000d_
12139 h. 10 h wall mounted battery system.</v>
      </c>
      <c r="G701">
        <v>7.25</v>
      </c>
      <c r="H701" t="str">
        <v>Residential</v>
      </c>
      <c r="I701">
        <v>46028</v>
      </c>
      <c r="J701">
        <v>46072</v>
      </c>
      <c r="K701" t="str">
        <v>Hamilton</v>
      </c>
      <c r="L701">
        <v>47862</v>
      </c>
      <c r="M701">
        <v>46069</v>
      </c>
      <c r="N701" t="str">
        <v/>
      </c>
      <c r="O701" t="str">
        <v>Yes</v>
      </c>
      <c r="P701">
        <v>32.3375</v>
      </c>
      <c r="Q701">
        <v>-64.70222</v>
      </c>
    </row>
    <row r="702" xml:space="preserve">
      <c r="A702" t="str">
        <v>B0001-26</v>
      </c>
      <c r="B702" t="str" xml:space="preserve">
        <v xml:space="preserve">1 Spicewood Drive_x000d__x000d_
Warwick, WK08</v>
      </c>
      <c r="C702" t="str">
        <v>Permitted Development</v>
      </c>
      <c r="D702" t="str">
        <v>Complete</v>
      </c>
      <c r="E702">
        <v>46036</v>
      </c>
      <c r="F702" t="str" xml:space="preserve">
        <v xml:space="preserve">New Roof Mounted PV System 18 panels @ 370W/Panel, 19.6 sqft/Panel, New System Area 354 sqft, New DC Output 6.66, AC Output 5.22, Annual_x000d_
Output 8104h</v>
      </c>
      <c r="G702">
        <v>5.22</v>
      </c>
      <c r="H702" t="str">
        <v>Residential</v>
      </c>
      <c r="I702">
        <v>46027</v>
      </c>
      <c r="J702">
        <v>46064</v>
      </c>
      <c r="K702" t="str">
        <v>Warwick</v>
      </c>
      <c r="L702">
        <v>47862</v>
      </c>
      <c r="M702">
        <v>46056</v>
      </c>
      <c r="N702" t="str">
        <v/>
      </c>
      <c r="O702" t="str">
        <v>Yes</v>
      </c>
      <c r="P702">
        <v>32.2685591</v>
      </c>
      <c r="Q702">
        <v>-64.7969487</v>
      </c>
    </row>
    <row r="703" xml:space="preserve">
      <c r="A703" t="str">
        <v>B0378-25</v>
      </c>
      <c r="B703" t="str" xml:space="preserve">
        <v xml:space="preserve">7 Wellington Park_x000d__x000d_
St. George's, GE02</v>
      </c>
      <c r="C703" t="str">
        <v>Permitted Development</v>
      </c>
      <c r="D703" t="str">
        <v>Complete</v>
      </c>
      <c r="E703">
        <v>46042</v>
      </c>
      <c r="F703" t="str">
        <v>PV Solar System 6 panels @ 430 W/panel; 20.40 sq.ft./panel; Total System area 122.40 sq.ft.; Total DC Output 2.58 ; Annual Output 3,343h; Total AC Output 2.21</v>
      </c>
      <c r="G703">
        <v>2.21</v>
      </c>
      <c r="H703" t="str">
        <v>Residential</v>
      </c>
      <c r="I703">
        <v>45993</v>
      </c>
      <c r="J703">
        <v>46175</v>
      </c>
      <c r="K703" t="str">
        <v>St. George</v>
      </c>
      <c r="L703">
        <v>47868</v>
      </c>
      <c r="M703">
        <v>46136</v>
      </c>
      <c r="N703" t="str">
        <v/>
      </c>
      <c r="O703" t="str">
        <v>Yes</v>
      </c>
      <c r="P703">
        <v>32.3780551</v>
      </c>
      <c r="Q703">
        <v>-64.6858064</v>
      </c>
    </row>
    <row r="704" xml:space="preserve">
      <c r="A704" t="str">
        <v>BR0236-25</v>
      </c>
      <c r="B704" t="str" xml:space="preserve">
        <v xml:space="preserve">15 Fairways Road_x000d__x000d_
Warwick, WK04</v>
      </c>
      <c r="C704" t="str">
        <v>Building - Residential</v>
      </c>
      <c r="D704" t="str">
        <v>Complete</v>
      </c>
      <c r="E704">
        <v>46042</v>
      </c>
      <c r="F704" t="str" xml:space="preserve">
        <v xml:space="preserve">Rooftop PV Solar System, 47 panels @ 410W/panel; 22.1 Sq Ft/Panel; Total System Area 1039 Sq Ft; Total DC Output 19.3; Annual Output 27,276 h; Total AC Output 18.91; Energy Storage System Total Power Rating 20; Energy Storage Capacity 32h DC Coupled Battery Storage. Demolition of Old Southwest Pergola. _x000d_
Construction of New Southwest Pergola. (Grade 3 Listed Building).</v>
      </c>
      <c r="G704">
        <v>18.91</v>
      </c>
      <c r="H704" t="str">
        <v>Building Residential</v>
      </c>
      <c r="I704">
        <v>46005</v>
      </c>
      <c r="J704">
        <v>46220</v>
      </c>
      <c r="K704" t="str">
        <v>Warwick</v>
      </c>
      <c r="L704">
        <v>47868</v>
      </c>
      <c r="M704">
        <v>46206</v>
      </c>
      <c r="N704" t="str">
        <v/>
      </c>
      <c r="O704" t="str">
        <v>Yes</v>
      </c>
      <c r="P704">
        <v>32.264297</v>
      </c>
      <c r="Q704">
        <v>-64.829422</v>
      </c>
    </row>
    <row r="705" xml:space="preserve">
      <c r="A705" t="str">
        <v>B0019-26</v>
      </c>
      <c r="B705" t="str" xml:space="preserve">
        <v xml:space="preserve">6 Fielders Lane_x000d__x000d_
Smiths, FL06</v>
      </c>
      <c r="C705" t="str">
        <v>Permitted Development</v>
      </c>
      <c r="D705" t="str">
        <v>Issued</v>
      </c>
      <c r="E705">
        <v>46048</v>
      </c>
      <c r="F705" t="str">
        <v>Roof-mounted Solar PV System: 12 Panels @ 380 W/Panel; 19.82 sq ft/Panel; Total sq ft 237.84; Total DC Output 4.56 ; Total AC Output 4.18 ; Total Annual Output 6,612  | 1 Tesla Powerwall2 @ 13.5 / Powerwall; Total System Capacity 13.5 ; 4.48 sq ft/ Powerwall; Total sq ft 4.48</v>
      </c>
      <c r="G705">
        <v>4.18</v>
      </c>
      <c r="H705" t="str">
        <v>Residential</v>
      </c>
      <c r="I705">
        <v>46043</v>
      </c>
      <c r="J705" t="str">
        <v/>
      </c>
      <c r="K705" t="str">
        <v>Smiths</v>
      </c>
      <c r="L705">
        <v>47875</v>
      </c>
      <c r="M705">
        <v>46071</v>
      </c>
      <c r="N705" t="str">
        <v/>
      </c>
      <c r="O705" t="str">
        <v>Yes</v>
      </c>
      <c r="P705">
        <v>32.320359</v>
      </c>
      <c r="Q705">
        <v>-64.734391</v>
      </c>
    </row>
    <row r="706" xml:space="preserve">
      <c r="A706" t="str">
        <v>B0017-26</v>
      </c>
      <c r="B706" t="str" xml:space="preserve">
        <v xml:space="preserve">2 Gilbert Hill_x000d__x000d_
Smiths, FL05</v>
      </c>
      <c r="C706" t="str">
        <v>Permitted Development</v>
      </c>
      <c r="D706" t="str">
        <v>Complete</v>
      </c>
      <c r="E706">
        <v>46048</v>
      </c>
      <c r="F706" t="str" xml:space="preserve">
        <v xml:space="preserve">Roof Mounted PV System: 15 panels @ 370W/panel, 19.6 sqft/panel, System Area 295 sqft. DC Output 5.55 , AC Output 4.35 , Annual Output 8151_x000d_
h. 10 h wall mounted battery system.</v>
      </c>
      <c r="G706">
        <v>4.35</v>
      </c>
      <c r="H706" t="str">
        <v>Residential</v>
      </c>
      <c r="I706">
        <v>46043</v>
      </c>
      <c r="J706">
        <v>46083</v>
      </c>
      <c r="K706" t="str">
        <v>Smiths</v>
      </c>
      <c r="L706">
        <v>47875</v>
      </c>
      <c r="M706">
        <v>46073</v>
      </c>
      <c r="N706" t="str">
        <v/>
      </c>
      <c r="O706" t="str">
        <v>Yes</v>
      </c>
      <c r="P706">
        <v>32.311896</v>
      </c>
      <c r="Q706">
        <v>-64.740743</v>
      </c>
    </row>
    <row r="707" xml:space="preserve">
      <c r="A707" t="str">
        <v>B0013-26</v>
      </c>
      <c r="B707" t="str" xml:space="preserve">
        <v xml:space="preserve">7 Kitty's Drive_x000d__x000d_
Hamilton, CR04</v>
      </c>
      <c r="C707" t="str">
        <v>Permitted Development</v>
      </c>
      <c r="D707" t="str">
        <v>Complete</v>
      </c>
      <c r="E707">
        <v>46051</v>
      </c>
      <c r="F707" t="str">
        <v>Roof-mounted PV Solar System: 19 panels @ 440W/panel; 20.9 sq ft/ panel; Total system area 397.1 sq ft; Total DC Output 8.36 ; Annual Output 12,122 h; Total AC Output 6.63  | Tesla Powerwall: Tesla Powerwall3 @ 13.5 / Powerwall; Total System Capacity 13.5 ; 4.57 sq ft/ Powerwall; Total sq ft 4.57</v>
      </c>
      <c r="G707">
        <v>6.63</v>
      </c>
      <c r="H707" t="str">
        <v>Residential</v>
      </c>
      <c r="I707">
        <v>46041</v>
      </c>
      <c r="J707">
        <v>46156</v>
      </c>
      <c r="K707" t="str">
        <v>Hamilton</v>
      </c>
      <c r="L707">
        <v>47877</v>
      </c>
      <c r="M707">
        <v>46140</v>
      </c>
      <c r="N707" t="str">
        <v/>
      </c>
      <c r="O707" t="str">
        <v>Yes</v>
      </c>
      <c r="P707">
        <v>32.34978</v>
      </c>
      <c r="Q707">
        <v>-64.717458</v>
      </c>
    </row>
    <row r="708" xml:space="preserve">
      <c r="A708" t="str">
        <v>B0009-26</v>
      </c>
      <c r="B708" t="str" xml:space="preserve">
        <v xml:space="preserve">23 Lovers Lane_x000d__x000d_
Paget, PG05</v>
      </c>
      <c r="C708" t="str">
        <v>Permitted Development</v>
      </c>
      <c r="D708" t="str">
        <v>Complete</v>
      </c>
      <c r="E708">
        <v>46051</v>
      </c>
      <c r="F708" t="str">
        <v>Roof-mounted PV Solar System: 22 panels @ 440W/panel; 20.9 sq ft/ panel; Total system area 459.8 sq ft; Total DC Output 9.68 ; Annual Output 144,036 h; Total AC Output 7.67  | Tesla Powerwall: Tesla Powerwall3 @ 13.5 / Powerwall; Total System Capacity 13.5 ; 4.57 sq ft/ Powerwall; Total sq ft 4.57</v>
      </c>
      <c r="G708">
        <v>7.67</v>
      </c>
      <c r="H708" t="str">
        <v>Residential</v>
      </c>
      <c r="I708">
        <v>46035</v>
      </c>
      <c r="J708">
        <v>46219</v>
      </c>
      <c r="K708" t="str">
        <v>Paget</v>
      </c>
      <c r="L708">
        <v>47877</v>
      </c>
      <c r="M708">
        <v>46196</v>
      </c>
      <c r="N708" t="str">
        <v/>
      </c>
      <c r="O708" t="str">
        <v>Yes</v>
      </c>
      <c r="P708">
        <v>32.287477</v>
      </c>
      <c r="Q708">
        <v>-64.776819</v>
      </c>
    </row>
    <row r="709" xml:space="preserve">
      <c r="A709" t="str">
        <v>B0016-26</v>
      </c>
      <c r="B709" t="str" xml:space="preserve">
        <v xml:space="preserve">16 Dundonald Street_x000d__x000d_
City of Hamilton, HM12</v>
      </c>
      <c r="C709" t="str">
        <v>Permitted Development</v>
      </c>
      <c r="D709" t="str">
        <v>Complete</v>
      </c>
      <c r="E709">
        <v>46058</v>
      </c>
      <c r="F709" t="str" xml:space="preserve">
        <v xml:space="preserve">New Roof Mounted PV System 8 panels @ 360W/Panel, 19.5 sqft/Panel, New System Area 156 sqft, New DC Output 2.88, AC Output_x000d_
2.32, Annual Output 3718h</v>
      </c>
      <c r="G709">
        <v>2.32</v>
      </c>
      <c r="H709" t="str">
        <v>Commercial</v>
      </c>
      <c r="I709">
        <v>46042</v>
      </c>
      <c r="J709">
        <v>46132</v>
      </c>
      <c r="K709" t="str">
        <v>City of Hamilton</v>
      </c>
      <c r="L709">
        <v>47884</v>
      </c>
      <c r="M709">
        <v>46104</v>
      </c>
      <c r="N709" t="str">
        <v/>
      </c>
      <c r="O709" t="str">
        <v>Yes</v>
      </c>
      <c r="P709">
        <v>32.2962282</v>
      </c>
      <c r="Q709">
        <v>-64.7828579</v>
      </c>
    </row>
    <row r="710" xml:space="preserve">
      <c r="A710" t="str">
        <v>B0015-26</v>
      </c>
      <c r="B710" t="str" xml:space="preserve">
        <v xml:space="preserve">2 Masters Mews_x000d__x000d_
Warwick, WK10</v>
      </c>
      <c r="C710" t="str">
        <v>Permitted Development</v>
      </c>
      <c r="D710" t="str">
        <v>Complete</v>
      </c>
      <c r="E710">
        <v>46058</v>
      </c>
      <c r="F710" t="str">
        <v>Roof Mounted Solar PV System: 12 Panels @ 450 W/Panel; 22.4 sq ft/Panel; Total sq ft 268.8; Total DC Output 5.4 ; Total AC Output 4.32 ; Total Annual Output 7,830 h</v>
      </c>
      <c r="G710">
        <v>4.32</v>
      </c>
      <c r="H710" t="str">
        <v>Residential</v>
      </c>
      <c r="I710">
        <v>46042</v>
      </c>
      <c r="J710">
        <v>46192</v>
      </c>
      <c r="K710" t="str">
        <v>Warwick</v>
      </c>
      <c r="L710">
        <v>47884</v>
      </c>
      <c r="M710">
        <v>46169</v>
      </c>
      <c r="N710" t="str">
        <v/>
      </c>
      <c r="O710" t="str">
        <v>Yes</v>
      </c>
      <c r="P710">
        <v>32.269559</v>
      </c>
      <c r="Q710">
        <v>-64.792222</v>
      </c>
    </row>
    <row r="711" xml:space="preserve">
      <c r="A711" t="str">
        <v>B0036-26</v>
      </c>
      <c r="B711" t="str" xml:space="preserve">
        <v xml:space="preserve">10 Morgan Hill_x000d__x000d_
Sandys, MA06</v>
      </c>
      <c r="C711" t="str">
        <v>Permitted Development</v>
      </c>
      <c r="D711" t="str">
        <v>Issued</v>
      </c>
      <c r="E711">
        <v>46064</v>
      </c>
      <c r="F711" t="str" xml:space="preserve">
        <v xml:space="preserve">Solar PV System: 46 Panels @ 450 W/Panel (31) and 220 W/Panel (15); 22.4 sq ft/Panel and 20 sq ft/Panel; Total sq ft 994.4; Total DC Output 17.25 ; Total AC Output 17.01 ; Total Annual Output 25,102  _x000d_
_x000d_
*Note: Two Different Models of Solar Panels Will Be Used to Make Up This System</v>
      </c>
      <c r="G711">
        <v>17.01</v>
      </c>
      <c r="H711" t="str">
        <v>Residential</v>
      </c>
      <c r="I711">
        <v>46058</v>
      </c>
      <c r="J711" t="str">
        <v/>
      </c>
      <c r="K711" t="str">
        <v>Sandys</v>
      </c>
      <c r="L711">
        <v>47890</v>
      </c>
      <c r="M711">
        <v>46071</v>
      </c>
      <c r="N711" t="str">
        <v/>
      </c>
      <c r="O711" t="str">
        <v>Yes</v>
      </c>
      <c r="P711">
        <v>32.287286</v>
      </c>
      <c r="Q711">
        <v>-64.871772</v>
      </c>
    </row>
    <row r="712" xml:space="preserve">
      <c r="A712" t="str">
        <v>B0404-25</v>
      </c>
      <c r="B712" t="str" xml:space="preserve">
        <v xml:space="preserve">59 Middle Road_x000d__x000d_
Devonshire, DV06</v>
      </c>
      <c r="C712" t="str">
        <v>Permitted Development</v>
      </c>
      <c r="D712" t="str">
        <v>Complete</v>
      </c>
      <c r="E712">
        <v>46064</v>
      </c>
      <c r="F712" t="str">
        <v xml:space="preserve">Roof-mounted PV Solar System: 18 panels @ 440W/panel; 20.9 sq ft/ panel; Total system area 376.2 sq ft; Total DC Output 7.92 ; Annual Output 11,484 h; Total AC Output 6.14 </v>
      </c>
      <c r="G712">
        <v>6.14</v>
      </c>
      <c r="H712" t="str">
        <v>Residential</v>
      </c>
      <c r="I712">
        <v>46021</v>
      </c>
      <c r="J712">
        <v>46114</v>
      </c>
      <c r="K712" t="str">
        <v>Devonshire</v>
      </c>
      <c r="L712">
        <v>47890</v>
      </c>
      <c r="M712">
        <v>46104</v>
      </c>
      <c r="N712" t="str">
        <v/>
      </c>
      <c r="O712" t="str">
        <v>Yes</v>
      </c>
      <c r="P712">
        <v>32.3036953</v>
      </c>
      <c r="Q712">
        <v>-64.7558272</v>
      </c>
    </row>
    <row r="713" xml:space="preserve">
      <c r="A713" t="str">
        <v>B0054-26</v>
      </c>
      <c r="B713" t="str" xml:space="preserve">
        <v xml:space="preserve">21 Tamarind Vale_x000d__x000d_
Warwick, WK04</v>
      </c>
      <c r="C713" t="str">
        <v>Permitted Development</v>
      </c>
      <c r="D713" t="str">
        <v>Complete</v>
      </c>
      <c r="E713">
        <v>46071</v>
      </c>
      <c r="F713" t="str" xml:space="preserve">
        <v xml:space="preserve">PV Solar System 19 panels @ 370W/panel; 19.6sqft/panel. Total system area sqft; _x000d_
Total DC Output 7.03; Annual Output 9691h; Total AC Output 5.51</v>
      </c>
      <c r="G713">
        <v>5.51</v>
      </c>
      <c r="H713" t="str">
        <v>Residential</v>
      </c>
      <c r="I713">
        <v>46066</v>
      </c>
      <c r="J713">
        <v>46133</v>
      </c>
      <c r="K713" t="str">
        <v>Warwick</v>
      </c>
      <c r="L713">
        <v>47897</v>
      </c>
      <c r="M713">
        <v>46122</v>
      </c>
      <c r="N713" t="str">
        <v/>
      </c>
      <c r="O713" t="str">
        <v>Yes</v>
      </c>
      <c r="P713">
        <v>32.268846</v>
      </c>
      <c r="Q713">
        <v>-64.81404</v>
      </c>
    </row>
    <row r="714" xml:space="preserve">
      <c r="A714" t="str">
        <v>B0031-26</v>
      </c>
      <c r="B714" t="str" xml:space="preserve">
        <v xml:space="preserve">9 Ferrars Lane_x000d__x000d_
Pembroke, HM08</v>
      </c>
      <c r="C714" t="str">
        <v>Permitted Development</v>
      </c>
      <c r="D714" t="str">
        <v>Complete</v>
      </c>
      <c r="E714">
        <v>46077</v>
      </c>
      <c r="F714" t="str">
        <v>Roof-mounted PV Solar System: 12 panels @ 440W/panel; 20.9 sq ft/ panel; Total system area 250.8 sq ft; Total DC Output 5.28 ; Annual Output 7,656 h; Total AC Output 4.19  | Franklin Battery: Franklin aPower2 @ 15 / Powerwall; Total System Capacity 15 ; 9.26 sq ft/ Powerwall; Total sq ft 9.26</v>
      </c>
      <c r="G714">
        <v>4.19</v>
      </c>
      <c r="H714" t="str">
        <v>Residential</v>
      </c>
      <c r="I714">
        <v>46055</v>
      </c>
      <c r="J714">
        <v>46196</v>
      </c>
      <c r="K714" t="str">
        <v>Pembroke</v>
      </c>
      <c r="L714">
        <v>47903</v>
      </c>
      <c r="M714">
        <v>46185</v>
      </c>
      <c r="N714" t="str">
        <v/>
      </c>
      <c r="O714" t="str">
        <v>Yes</v>
      </c>
      <c r="P714">
        <v>32.29622</v>
      </c>
      <c r="Q714">
        <v>-64.791261</v>
      </c>
    </row>
    <row r="715" xml:space="preserve">
      <c r="A715" t="str">
        <v>B0062-26</v>
      </c>
      <c r="B715" t="str" xml:space="preserve">
        <v xml:space="preserve">3A Green Acres Road_x000d__x000d_
Devonshire, DV08</v>
      </c>
      <c r="C715" t="str">
        <v>Permitted Development</v>
      </c>
      <c r="D715" t="str">
        <v>Complete</v>
      </c>
      <c r="E715">
        <v>46077</v>
      </c>
      <c r="F715" t="str">
        <v>PV Solar System 10 panels @ 410W/panel; 22.1 sq ft/panel; Total system area 221 sq ft; Total DC Output 4.10; Annual Output 6,378h; Total AC Output 3</v>
      </c>
      <c r="G715">
        <v>3</v>
      </c>
      <c r="H715" t="str">
        <v>Residential</v>
      </c>
      <c r="I715">
        <v>46071</v>
      </c>
      <c r="J715">
        <v>46196</v>
      </c>
      <c r="K715" t="str">
        <v>Devonshire</v>
      </c>
      <c r="L715">
        <v>47903</v>
      </c>
      <c r="M715">
        <v>46184</v>
      </c>
      <c r="N715" t="str">
        <v/>
      </c>
      <c r="O715" t="str">
        <v>Yes</v>
      </c>
      <c r="P715">
        <v>32.306233</v>
      </c>
      <c r="Q715">
        <v>-64.747165</v>
      </c>
    </row>
    <row r="716" xml:space="preserve">
      <c r="A716" t="str">
        <v>B0063-26</v>
      </c>
      <c r="B716" t="str" xml:space="preserve">
        <v xml:space="preserve">40 Stovell Bay Road_x000d__x000d_
Pembroke, HM01</v>
      </c>
      <c r="C716" t="str">
        <v>Permitted Development</v>
      </c>
      <c r="D716" t="str">
        <v>Complete</v>
      </c>
      <c r="E716">
        <v>46078</v>
      </c>
      <c r="F716" t="str">
        <v>PV Solar System 14 panels @ 410W/panel; 22.1 sq ft/panel; Total system area 310 sq ft; Total DC Output 5.70; Annual Output 7,044h; Total AC Output 4.2</v>
      </c>
      <c r="G716">
        <v>4.2</v>
      </c>
      <c r="H716" t="str">
        <v>Residential</v>
      </c>
      <c r="I716">
        <v>46071</v>
      </c>
      <c r="J716">
        <v>46169</v>
      </c>
      <c r="K716" t="str">
        <v>Pembroke</v>
      </c>
      <c r="L716">
        <v>47904</v>
      </c>
      <c r="M716">
        <v>46146</v>
      </c>
      <c r="N716" t="str">
        <v/>
      </c>
      <c r="O716" t="str">
        <v>Yes</v>
      </c>
      <c r="P716">
        <v>32.305576</v>
      </c>
      <c r="Q716">
        <v>-64.811304</v>
      </c>
    </row>
    <row r="717" xml:space="preserve">
      <c r="A717" t="str">
        <v>B0051-26</v>
      </c>
      <c r="B717" t="str" xml:space="preserve">
        <v xml:space="preserve">45 Mangrove Bay Road_x000d__x000d_
Sandys, MA01</v>
      </c>
      <c r="C717" t="str">
        <v>Permitted Development</v>
      </c>
      <c r="D717" t="str">
        <v>Complete</v>
      </c>
      <c r="E717">
        <v>46079</v>
      </c>
      <c r="F717" t="str">
        <v>Roof Mounted PV System 27 panels @ 370W/Panel, 19.6 sqft/Panel, System Area 530 sqft, DC Output 9.99, AC Output 7.83, Annual Output 14294h</v>
      </c>
      <c r="G717">
        <v>7.83</v>
      </c>
      <c r="H717" t="str">
        <v>Commercial</v>
      </c>
      <c r="I717">
        <v>46065</v>
      </c>
      <c r="J717">
        <v>46168</v>
      </c>
      <c r="K717" t="str">
        <v>Sandys</v>
      </c>
      <c r="L717">
        <v>47905</v>
      </c>
      <c r="M717">
        <v>46157</v>
      </c>
      <c r="N717" t="str">
        <v/>
      </c>
      <c r="O717" t="str">
        <v>Yes</v>
      </c>
      <c r="P717">
        <v>32.3033613</v>
      </c>
      <c r="Q717">
        <v>-64.8640752</v>
      </c>
    </row>
    <row r="718" xml:space="preserve">
      <c r="A718" t="str">
        <v>B0042-26</v>
      </c>
      <c r="B718" t="str" xml:space="preserve">
        <v xml:space="preserve">12 Grasmere Road_x000d__x000d_
Pembroke, HM05</v>
      </c>
      <c r="C718" t="str">
        <v>Permitted Development</v>
      </c>
      <c r="D718" t="str">
        <v>Complete</v>
      </c>
      <c r="E718">
        <v>46079</v>
      </c>
      <c r="F718" t="str">
        <v>Roof Mounted Solar PV System: 18 Panels @ 450 W/Panel; 22.4 sq ft/Panel; Total sq ft 403.2; Total DC Output 8.1 ; Total AC Output 6.84 ; Total Annual Output 11,745 h</v>
      </c>
      <c r="G718">
        <v>6.84</v>
      </c>
      <c r="H718" t="str">
        <v>Residential</v>
      </c>
      <c r="I718">
        <v>46059</v>
      </c>
      <c r="J718">
        <v>46168</v>
      </c>
      <c r="K718" t="str">
        <v>Pembroke</v>
      </c>
      <c r="L718">
        <v>47905</v>
      </c>
      <c r="M718">
        <v>46160</v>
      </c>
      <c r="N718" t="str">
        <v/>
      </c>
      <c r="O718" t="str">
        <v>Yes</v>
      </c>
      <c r="P718">
        <v>32.30135</v>
      </c>
      <c r="Q718">
        <v>-64.80713</v>
      </c>
    </row>
    <row r="719" xml:space="preserve">
      <c r="A719" t="str">
        <v>B0058-26</v>
      </c>
      <c r="B719" t="str" xml:space="preserve">
        <v xml:space="preserve">28 Parsons Road_x000d__x000d_
Pembroke, HM17</v>
      </c>
      <c r="C719" t="str">
        <v>Permitted Development</v>
      </c>
      <c r="D719" t="str">
        <v>Complete</v>
      </c>
      <c r="E719">
        <v>46079</v>
      </c>
      <c r="F719" t="str">
        <v>Roof Mounted PV System: 13 panels @ 360W/panel, 19.5 sqft/panel, System Area 254sqft. DC Output 4.68 , AC Output 3.77 , Annual Output 6029h. Existing PV System: DC Output 8.32, AC Output 6, Annual Output 11856h. Total PV System: DC Output 13, AC Output 9.77, Total Annual Output 17885h.</v>
      </c>
      <c r="G719">
        <v>9.77</v>
      </c>
      <c r="H719" t="str">
        <v>Commercial</v>
      </c>
      <c r="I719">
        <v>46070</v>
      </c>
      <c r="J719">
        <v>46169</v>
      </c>
      <c r="K719" t="str">
        <v>Pembroke</v>
      </c>
      <c r="L719">
        <v>47905</v>
      </c>
      <c r="M719">
        <v>46162</v>
      </c>
      <c r="N719" t="str">
        <v/>
      </c>
      <c r="O719" t="str">
        <v>Yes</v>
      </c>
      <c r="P719">
        <v>32.299264</v>
      </c>
      <c r="Q719">
        <v>-64.776518</v>
      </c>
    </row>
    <row r="720" xml:space="preserve">
      <c r="A720" t="str">
        <v>B0022-26</v>
      </c>
      <c r="B720" t="str" xml:space="preserve">
        <v xml:space="preserve">23 Knapton Estates Road_x000d__x000d_
Smiths, HS01</v>
      </c>
      <c r="C720" t="str">
        <v>Permitted Development</v>
      </c>
      <c r="D720" t="str">
        <v>Complete</v>
      </c>
      <c r="E720">
        <v>46085</v>
      </c>
      <c r="F720" t="str">
        <v>PV Solar System 38 panels @ 430 W/panel; 20.40 sq.ft./panel; Total System area 775.20 sq.ft.; Total DC Output 16.34 ; Annual Output 21,171h; Total AC Output 14.05.</v>
      </c>
      <c r="G720">
        <v>14.05</v>
      </c>
      <c r="H720" t="str">
        <v>Residential</v>
      </c>
      <c r="I720">
        <v>46044</v>
      </c>
      <c r="J720">
        <v>46175</v>
      </c>
      <c r="K720" t="str">
        <v>Smiths</v>
      </c>
      <c r="L720">
        <v>47911</v>
      </c>
      <c r="M720">
        <v>46127</v>
      </c>
      <c r="N720" t="str">
        <v/>
      </c>
      <c r="O720" t="str">
        <v>Yes</v>
      </c>
      <c r="P720">
        <v>32.3174</v>
      </c>
      <c r="Q720">
        <v>-64.71706</v>
      </c>
    </row>
    <row r="721" xml:space="preserve">
      <c r="A721" t="str">
        <v>B0010-26</v>
      </c>
      <c r="B721" t="str" xml:space="preserve">
        <v xml:space="preserve">13A Lighthouse Road_x000d__x000d_
Southampton, SN02</v>
      </c>
      <c r="C721" t="str">
        <v>Permitted Development</v>
      </c>
      <c r="D721" t="str">
        <v>Complete</v>
      </c>
      <c r="E721">
        <v>46085</v>
      </c>
      <c r="F721" t="str" xml:space="preserve">
        <v xml:space="preserve">PV Solar System 42 panels @ 430 W/panel; 20.40 sq.ft./panel; Total System area 856.80 sq.ft.; Total DC Output 18.06 ; Annual Output 23,400 h; Total AC Output 15.53 .  _x000d_
Energy storage system total power rating 15.36 ; Energy storage capacity 20 h</v>
      </c>
      <c r="G721">
        <v>15.53</v>
      </c>
      <c r="H721" t="str">
        <v>Residential</v>
      </c>
      <c r="I721">
        <v>46035</v>
      </c>
      <c r="J721">
        <v>46185</v>
      </c>
      <c r="K721" t="str">
        <v>Southampton</v>
      </c>
      <c r="L721">
        <v>47911</v>
      </c>
      <c r="M721">
        <v>46169</v>
      </c>
      <c r="N721" t="str">
        <v/>
      </c>
      <c r="O721" t="str">
        <v>Yes</v>
      </c>
      <c r="P721">
        <v>32.253093</v>
      </c>
      <c r="Q721">
        <v>-64.832558</v>
      </c>
    </row>
    <row r="722" xml:space="preserve">
      <c r="A722" t="str">
        <v>B0060-26</v>
      </c>
      <c r="B722" t="str" xml:space="preserve">
        <v xml:space="preserve">6 Evans Bay Lane_x000d__x000d_
Southampton, SB04</v>
      </c>
      <c r="C722" t="str">
        <v>Permitted Development</v>
      </c>
      <c r="D722" t="str">
        <v>Issued</v>
      </c>
      <c r="E722">
        <v>46085</v>
      </c>
      <c r="F722" t="str" xml:space="preserve">
        <v xml:space="preserve">PV Solar System 27 panels @ 430 W/panel; 20.40 sq.ft./panel; Total System area 550.80 sq.ft.; Total DC Output 11.61 ; Annual Output 15,043h; Total AC Output 9.98. _x000d_
Energy Storage System total power rating 15,36; Energy Storage Capacity 20</v>
      </c>
      <c r="G722">
        <v>9.98</v>
      </c>
      <c r="H722" t="str">
        <v>Residential</v>
      </c>
      <c r="I722">
        <v>46071</v>
      </c>
      <c r="J722" t="str">
        <v/>
      </c>
      <c r="K722" t="str">
        <v>Southampton</v>
      </c>
      <c r="L722">
        <v>47911</v>
      </c>
      <c r="M722">
        <v>46225</v>
      </c>
      <c r="N722" t="str">
        <v/>
      </c>
      <c r="O722" t="str">
        <v>Yes</v>
      </c>
      <c r="P722">
        <v>32.259001</v>
      </c>
      <c r="Q722">
        <v>-64.867151</v>
      </c>
    </row>
    <row r="723" xml:space="preserve">
      <c r="A723" t="str">
        <v>B0011-26</v>
      </c>
      <c r="B723" t="str" xml:space="preserve">
        <v xml:space="preserve">23 Mill Shares Road_x000d__x000d_
Pembroke, HM05</v>
      </c>
      <c r="C723" t="str">
        <v>Permitted Development</v>
      </c>
      <c r="D723" t="str">
        <v>Issued</v>
      </c>
      <c r="E723">
        <v>46094</v>
      </c>
      <c r="F723" t="str">
        <v>Solar installation. 15 APTOS DNA 120 Panels @ 370 w/Panel; 11.78 Sq Ft/ Panel; Total System Area 295 Sq Ft; Total DC Output 5.55 ; Annual Output 8,225 H; Total AC Output 22,476  / Day.  Bedroom and batoom addition to existing house. Internal renovations.</v>
      </c>
      <c r="G723">
        <v>4.44</v>
      </c>
      <c r="H723" t="str">
        <v>Residential</v>
      </c>
      <c r="I723">
        <v>46036</v>
      </c>
      <c r="J723" t="str">
        <v/>
      </c>
      <c r="K723" t="str">
        <v>Pembroke</v>
      </c>
      <c r="L723">
        <v>47920</v>
      </c>
      <c r="M723">
        <v>46212</v>
      </c>
      <c r="N723" t="str">
        <v/>
      </c>
      <c r="O723" t="str">
        <v>Yes</v>
      </c>
      <c r="P723">
        <v>32.296348</v>
      </c>
      <c r="Q723">
        <v>-64.801174</v>
      </c>
    </row>
    <row r="724" xml:space="preserve">
      <c r="A724" t="str">
        <v>B0081-26</v>
      </c>
      <c r="B724" t="str" xml:space="preserve">
        <v xml:space="preserve">35 Lolly's Well Road_x000d__x000d_
Smiths, FL07</v>
      </c>
      <c r="C724" t="str">
        <v>Permitted Development</v>
      </c>
      <c r="D724" t="str">
        <v>Issued</v>
      </c>
      <c r="E724">
        <v>46094</v>
      </c>
      <c r="F724" t="str">
        <v>Roof-mounted PV Solar System: 28 panels @ 450W/panel; 22.4 sq ft/ panel; Total system area 627.2 sq ft; Total DC Output 12.6 ; Annual Output 18,270 h; Total AC Output 10.64  | Tesla Powerwall: 2 Tesla Powerwall3 @ 13.5 / Powerwall; Total System Capacity 27 ; 4.57 sq ft/ Powerwall; Total sq ft 9.14</v>
      </c>
      <c r="G724">
        <v>10.64</v>
      </c>
      <c r="H724" t="str">
        <v>Residential</v>
      </c>
      <c r="I724">
        <v>46085</v>
      </c>
      <c r="J724" t="str">
        <v/>
      </c>
      <c r="K724" t="str">
        <v>Smiths</v>
      </c>
      <c r="L724">
        <v>47920</v>
      </c>
      <c r="M724">
        <v>46220</v>
      </c>
      <c r="N724" t="str">
        <v/>
      </c>
      <c r="O724" t="str">
        <v>Yes</v>
      </c>
      <c r="P724">
        <v>32.3183729</v>
      </c>
      <c r="Q724">
        <v>-64.7299084</v>
      </c>
    </row>
    <row r="725" xml:space="preserve">
      <c r="A725" t="str">
        <v>B0055-26</v>
      </c>
      <c r="B725" t="str" xml:space="preserve">
        <v xml:space="preserve">26 Knapton Hill_x000d__x000d_
Smiths, FL08</v>
      </c>
      <c r="C725" t="str">
        <v>Permitted Development</v>
      </c>
      <c r="D725" t="str">
        <v>Issued</v>
      </c>
      <c r="E725">
        <v>46097</v>
      </c>
      <c r="F725" t="str" xml:space="preserve">
        <v xml:space="preserve">PV Solar System 36 panels @ 370W/panel; _x000d_
19.6sqft/panel; _x000d_
Total system area 707sqft; _x000d_
Total DC Output 13.32; _x000d_
Annual Output 17529h; _x000d_
Total AC Output 10.44</v>
      </c>
      <c r="G725">
        <v>10.44</v>
      </c>
      <c r="H725" t="str">
        <v>Residential</v>
      </c>
      <c r="I725">
        <v>46069</v>
      </c>
      <c r="J725" t="str">
        <v/>
      </c>
      <c r="K725" t="str">
        <v>Smiths</v>
      </c>
      <c r="L725">
        <v>47924</v>
      </c>
      <c r="M725" t="str">
        <v/>
      </c>
      <c r="N725" t="str">
        <v/>
      </c>
      <c r="O725" t="str">
        <v>Yes</v>
      </c>
      <c r="P725">
        <v>32.3161713</v>
      </c>
      <c r="Q725">
        <v>-64.7224279</v>
      </c>
    </row>
    <row r="726" xml:space="preserve">
      <c r="A726" t="str">
        <v>B0069-26</v>
      </c>
      <c r="B726" t="str" xml:space="preserve">
        <v xml:space="preserve">84 Harbour Road_x000d__x000d_
Warwick, WK06</v>
      </c>
      <c r="C726" t="str">
        <v>Permitted Development</v>
      </c>
      <c r="D726" t="str">
        <v>Complete</v>
      </c>
      <c r="E726">
        <v>46097</v>
      </c>
      <c r="F726" t="str" xml:space="preserve">
        <v xml:space="preserve">PV Solar System 21 panels @ 370W/panel; 19.6sqft/panel; Total system area 412sqft. _x000d_
Total DC Output 7.77; Annual Output 7777h. Total AC Output 6.09, Wall mounted battery system - 10h</v>
      </c>
      <c r="G726">
        <v>6.09</v>
      </c>
      <c r="H726" t="str">
        <v>Residential</v>
      </c>
      <c r="I726">
        <v>46078</v>
      </c>
      <c r="J726">
        <v>46133</v>
      </c>
      <c r="K726" t="str">
        <v>Warwick</v>
      </c>
      <c r="L726">
        <v>47924</v>
      </c>
      <c r="M726">
        <v>46104</v>
      </c>
      <c r="N726" t="str">
        <v/>
      </c>
      <c r="O726" t="str">
        <v>Yes</v>
      </c>
      <c r="P726">
        <v>32.2808345</v>
      </c>
      <c r="Q726">
        <v>-64.7962048</v>
      </c>
    </row>
    <row r="727" xml:space="preserve">
      <c r="A727" t="str">
        <v>B0046-26</v>
      </c>
      <c r="B727" t="str" xml:space="preserve">
        <v xml:space="preserve">10 Meadow Lane_x000d__x000d_
Devonshire, DV08</v>
      </c>
      <c r="C727" t="str">
        <v>Permitted Development</v>
      </c>
      <c r="D727" t="str">
        <v>Complete</v>
      </c>
      <c r="E727">
        <v>46101</v>
      </c>
      <c r="F727" t="str">
        <v>PV Solar System 12 panels @ 430 W/panel; 20.40 sq.ft./panel; Total System area 244.80 sq.ft.; Total DC Output 5.16 ; Annual Output 6,686h; Total AC Output 4.43.   Energy Storage System total power rating 7.68; Energy Storage Capacity 10</v>
      </c>
      <c r="G727">
        <v>4.43</v>
      </c>
      <c r="H727" t="str">
        <v>Residential</v>
      </c>
      <c r="I727">
        <v>46062</v>
      </c>
      <c r="J727">
        <v>46185</v>
      </c>
      <c r="K727" t="str">
        <v>Devonshire</v>
      </c>
      <c r="L727">
        <v>47927</v>
      </c>
      <c r="M727">
        <v>46140</v>
      </c>
      <c r="N727" t="str">
        <v/>
      </c>
      <c r="O727" t="str">
        <v>Yes</v>
      </c>
      <c r="P727">
        <v>32.303301</v>
      </c>
      <c r="Q727">
        <v>-64.750517</v>
      </c>
    </row>
    <row r="728" xml:space="preserve">
      <c r="A728" t="str">
        <v>B0040-26</v>
      </c>
      <c r="B728" t="str" xml:space="preserve">
        <v xml:space="preserve">11 West Point Lane_x000d__x000d_
Hamilton, CR01</v>
      </c>
      <c r="C728" t="str">
        <v>Permitted Development</v>
      </c>
      <c r="D728" t="str">
        <v>Complete</v>
      </c>
      <c r="E728">
        <v>46106</v>
      </c>
      <c r="F728" t="str">
        <v>Roof-mounted PV Solar System: 16 panels @ 440W/panel; 20.9 sq ft/ panel; Total system area 334.4 sq ft; Total DC Output 7.04 ; Annual Output 10,208 h; Total AC Output 5.52  | Franklin Battery: Franklin aPower2 @ 15 / Powerwall; Total System Capacity 15 ; 9.26 sq ft/ Powerwall; Total sq ft 9.26</v>
      </c>
      <c r="G728">
        <v>5.52</v>
      </c>
      <c r="H728" t="str">
        <v>Residential</v>
      </c>
      <c r="I728">
        <v>46059</v>
      </c>
      <c r="J728">
        <v>46220</v>
      </c>
      <c r="K728" t="str">
        <v>Hamilton</v>
      </c>
      <c r="L728">
        <v>47932</v>
      </c>
      <c r="M728">
        <v>46204</v>
      </c>
      <c r="N728" t="str">
        <v/>
      </c>
      <c r="O728" t="str">
        <v>Yes</v>
      </c>
      <c r="P728">
        <v>32.333529</v>
      </c>
      <c r="Q728">
        <v>-64.740664</v>
      </c>
    </row>
    <row r="729" xml:space="preserve">
      <c r="A729" t="str">
        <v>B0092-26</v>
      </c>
      <c r="B729" t="str" xml:space="preserve">
        <v xml:space="preserve">6 Trimingham Hill_x000d__x000d_
Paget, PG05</v>
      </c>
      <c r="C729" t="str">
        <v>Permitted Development</v>
      </c>
      <c r="D729" t="str">
        <v>Complete</v>
      </c>
      <c r="E729">
        <v>46107</v>
      </c>
      <c r="F729" t="str">
        <v>Roof Mounted PV System: 34 panels @ 440W/panel, 23.2 sqft/panel, System Area 790 sqft. DC Output 14.96 , AC Output 11.87 , Annual Output 20368 h. 40 h wall mounted battery system.*Revision 1: relocate one PV module. same system details</v>
      </c>
      <c r="G729">
        <v>11.87</v>
      </c>
      <c r="H729" t="str">
        <v>Residential</v>
      </c>
      <c r="I729">
        <v>46092</v>
      </c>
      <c r="J729">
        <v>46197</v>
      </c>
      <c r="K729" t="str">
        <v>Paget</v>
      </c>
      <c r="L729">
        <v>47933</v>
      </c>
      <c r="M729">
        <v>46176</v>
      </c>
      <c r="N729" t="str">
        <v/>
      </c>
      <c r="O729" t="str">
        <v>Yes</v>
      </c>
      <c r="P729">
        <v>32.290852</v>
      </c>
      <c r="Q729">
        <v>-64.769715</v>
      </c>
    </row>
    <row r="730" xml:space="preserve">
      <c r="A730" t="str">
        <v>BR0005-26</v>
      </c>
      <c r="B730" t="str" xml:space="preserve">
        <v xml:space="preserve">27 Mission Road_x000d__x000d_
Paget, PG06</v>
      </c>
      <c r="C730" t="str">
        <v>Building - Residential</v>
      </c>
      <c r="D730" t="str">
        <v>Issued</v>
      </c>
      <c r="E730">
        <v>46108</v>
      </c>
      <c r="F730" t="str">
        <v>PV Solar System 20 panels @ 440W/Panel; 20.988 sq ft/ Panel; Total System Area 419.76 sq ft; Total DC Output 8.80 ; Annual Output 12,880 h; Total AC Output 8.80 ; Total Battery Energy Storage 20h</v>
      </c>
      <c r="G730">
        <v>8.8</v>
      </c>
      <c r="H730" t="str">
        <v>Building Residential</v>
      </c>
      <c r="I730">
        <v>46035</v>
      </c>
      <c r="J730" t="str">
        <v/>
      </c>
      <c r="K730" t="str">
        <v>Paget</v>
      </c>
      <c r="L730">
        <v>47934</v>
      </c>
      <c r="M730">
        <v>46205</v>
      </c>
      <c r="N730" t="str">
        <v/>
      </c>
      <c r="O730" t="str">
        <v>Yes</v>
      </c>
      <c r="P730">
        <v>32.278925</v>
      </c>
      <c r="Q730">
        <v>-64.773151</v>
      </c>
    </row>
    <row r="731" xml:space="preserve">
      <c r="A731" t="str">
        <v>B0091-26</v>
      </c>
      <c r="B731" t="str" xml:space="preserve">
        <v xml:space="preserve">52 North Shore Road_x000d__x000d_
Smiths, FL04</v>
      </c>
      <c r="C731" t="str">
        <v>Permitted Development</v>
      </c>
      <c r="D731" t="str">
        <v>Complete</v>
      </c>
      <c r="E731">
        <v>46108</v>
      </c>
      <c r="F731" t="str" xml:space="preserve">
        <v xml:space="preserve">PV Solar System 20 panels @ 430 W/panel; 20.40 sq.ft./panel; Total System area 400.00 sq.ft.; Total DC Output 8.6 ; Annual Output 11,143h; Total AC Output 7.39. _x000d_
Energy Storage System total power rating 7.68; Energy Storage Capacity 10</v>
      </c>
      <c r="G731">
        <v>7.39</v>
      </c>
      <c r="H731" t="str">
        <v>Residential</v>
      </c>
      <c r="I731">
        <v>46092</v>
      </c>
      <c r="J731">
        <v>46220</v>
      </c>
      <c r="K731" t="str">
        <v>Smiths</v>
      </c>
      <c r="L731">
        <v>47934</v>
      </c>
      <c r="M731">
        <v>46140</v>
      </c>
      <c r="N731" t="str">
        <v/>
      </c>
      <c r="O731" t="str">
        <v>Yes</v>
      </c>
      <c r="P731">
        <v>32.3158395</v>
      </c>
      <c r="Q731">
        <v>-64.7500276</v>
      </c>
    </row>
    <row r="732" xml:space="preserve">
      <c r="A732" t="str">
        <v>B0117-26</v>
      </c>
      <c r="B732" t="str" xml:space="preserve">
        <v xml:space="preserve">185 South Road_x000d__x000d_
Paget, DV04</v>
      </c>
      <c r="C732" t="str">
        <v>Permitted Development</v>
      </c>
      <c r="D732" t="str">
        <v>Issued</v>
      </c>
      <c r="E732">
        <v>46118</v>
      </c>
      <c r="F732" t="str" xml:space="preserve">
        <v xml:space="preserve">Proposed Additional Solar Panels: PV Solar 18 panels @ 430W/panel; 20.4 sq. ft./panel; Total System area 367.20 sq. ft.; Total DC Output 7.74 ; Annual Output 9,661 h; Total AC Output 6.65 . Energy Storage System total power rating 15.36 ; Energy storage capacity 20h._x000d_
Total Solar Panels:  PV Solar 29 panels @ 430W/panel; 20.40 sq. ft./panel; Total System area 591.60 sq. ft.; Total DC Output 12.47 ; Annual Output 16,157 h; Total AC Output 10.72 .</v>
      </c>
      <c r="G732">
        <v>10.72</v>
      </c>
      <c r="H732" t="str">
        <v>Residential</v>
      </c>
      <c r="I732">
        <v>46107</v>
      </c>
      <c r="J732" t="str">
        <v/>
      </c>
      <c r="K732" t="str">
        <v>Paget</v>
      </c>
      <c r="L732">
        <v>47945</v>
      </c>
      <c r="M732">
        <v>46155</v>
      </c>
      <c r="N732" t="str">
        <v/>
      </c>
      <c r="O732" t="str">
        <v>Yes</v>
      </c>
      <c r="P732">
        <v>32.2936511</v>
      </c>
      <c r="Q732">
        <v>-64.7617649</v>
      </c>
    </row>
    <row r="733" xml:space="preserve">
      <c r="A733" t="str">
        <v>B0114-26</v>
      </c>
      <c r="B733" t="str" xml:space="preserve">
        <v xml:space="preserve">24 Lovers Lane_x000d__x000d_
Paget, PG05</v>
      </c>
      <c r="C733" t="str">
        <v>Permitted Development</v>
      </c>
      <c r="D733" t="str">
        <v>Complete</v>
      </c>
      <c r="E733">
        <v>46118</v>
      </c>
      <c r="F733" t="str">
        <v>Roof-mounted PV Solar System: 35 panels @ 450W/panel; 22.4 sq ft/ panel; Total system area 784 sq ft; Total DC Output 15.75 ; Annual Output 22,837 h; Total AC Output 13.30  | Tesla Powerwall: Tesla Powerwall3 @ 13.5 / Powerwall; Total System Capacity 13.5 ; 4.57 sq ft/ Powerwall; Total sq ft 4.57</v>
      </c>
      <c r="G733">
        <v>13.3</v>
      </c>
      <c r="H733" t="str">
        <v>Residential</v>
      </c>
      <c r="I733">
        <v>46106</v>
      </c>
      <c r="J733">
        <v>46185</v>
      </c>
      <c r="K733" t="str">
        <v>Paget</v>
      </c>
      <c r="L733">
        <v>47945</v>
      </c>
      <c r="M733">
        <v>46181</v>
      </c>
      <c r="N733" t="str">
        <v/>
      </c>
      <c r="O733" t="str">
        <v>Yes</v>
      </c>
      <c r="P733">
        <v>32.2857086</v>
      </c>
      <c r="Q733">
        <v>-64.7734863</v>
      </c>
    </row>
    <row r="734" xml:space="preserve">
      <c r="A734" t="str">
        <v>B0079-26</v>
      </c>
      <c r="B734" t="str" xml:space="preserve">
        <v xml:space="preserve">58 My Lord's Bay Road_x000d__x000d_
Hamilton, CR02</v>
      </c>
      <c r="C734" t="str">
        <v>Permitted Development</v>
      </c>
      <c r="D734" t="str">
        <v>Issued</v>
      </c>
      <c r="E734">
        <v>46118</v>
      </c>
      <c r="F734" t="str">
        <v>NEW PV Solar System 2 panels @ 400 W/panel; 19 sq.ft./panel; Total System area 38 sq.ft.; Total DC Output 0.79 ; Annual Output 1,024h; Total AC Output 0.67.</v>
      </c>
      <c r="G734">
        <v>0.67</v>
      </c>
      <c r="H734" t="str">
        <v>Residential</v>
      </c>
      <c r="I734">
        <v>46084</v>
      </c>
      <c r="J734" t="str">
        <v/>
      </c>
      <c r="K734" t="str">
        <v>Hamilton</v>
      </c>
      <c r="L734">
        <v>47945</v>
      </c>
      <c r="M734">
        <v>46224</v>
      </c>
      <c r="N734" t="str">
        <v/>
      </c>
      <c r="O734" t="str">
        <v>Yes</v>
      </c>
      <c r="P734">
        <v>32.339728</v>
      </c>
      <c r="Q734">
        <v>-64.72997</v>
      </c>
    </row>
    <row r="735" xml:space="preserve">
      <c r="A735" t="str">
        <v>B0067-26</v>
      </c>
      <c r="B735" t="str" xml:space="preserve">
        <v xml:space="preserve">34 Castile Road_x000d__x000d_
Warwick, WK04</v>
      </c>
      <c r="C735" t="str">
        <v>Permitted Development</v>
      </c>
      <c r="D735" t="str">
        <v>Issued</v>
      </c>
      <c r="E735">
        <v>46119</v>
      </c>
      <c r="F735" t="str">
        <v>Roof Mounted PV System 28 panels @ 370W/Panel, 19.6 sqft/Panel, System Area 550 sqft, DC Output 10.36, AC Output 8.12, Annual Output 14926h</v>
      </c>
      <c r="G735">
        <v>8.12</v>
      </c>
      <c r="H735" t="str">
        <v>Residential</v>
      </c>
      <c r="I735">
        <v>46077</v>
      </c>
      <c r="J735" t="str">
        <v/>
      </c>
      <c r="K735" t="str">
        <v>Warwick</v>
      </c>
      <c r="L735">
        <v>47945</v>
      </c>
      <c r="M735" t="str">
        <v/>
      </c>
      <c r="N735" t="str">
        <v/>
      </c>
      <c r="O735" t="str">
        <v>Yes</v>
      </c>
      <c r="P735">
        <v>32.339728</v>
      </c>
      <c r="Q735">
        <v>-64.72997</v>
      </c>
    </row>
    <row r="736" xml:space="preserve">
      <c r="A736" t="str">
        <v>BR0042-26</v>
      </c>
      <c r="B736" t="str" xml:space="preserve">
        <v xml:space="preserve">77 Tuckers Town Road_x000d__x000d_
St. George's, HS02</v>
      </c>
      <c r="C736" t="str">
        <v>Building - Residential</v>
      </c>
      <c r="D736" t="str">
        <v>Issued</v>
      </c>
      <c r="E736">
        <v>46120</v>
      </c>
      <c r="F736" t="str">
        <v>Proposed Ground Mounted Solar Array System (100 total) @ 430W per Panel; @ 20.24 sq ft per Panel, Total System Area 2,204 sq ft. Annual Total System Output: 69643 h; Total DC Output: 43; Total AC Output:  36.98.</v>
      </c>
      <c r="G736">
        <v>36.98</v>
      </c>
      <c r="H736" t="str">
        <v>Building Residential</v>
      </c>
      <c r="I736">
        <v>46100</v>
      </c>
      <c r="J736" t="str">
        <v/>
      </c>
      <c r="K736" t="str">
        <v>St. George</v>
      </c>
      <c r="L736">
        <v>47946</v>
      </c>
      <c r="M736" t="str">
        <v/>
      </c>
      <c r="N736" t="str">
        <v/>
      </c>
      <c r="O736" t="str">
        <v>Yes</v>
      </c>
      <c r="P736">
        <v>32.338238</v>
      </c>
      <c r="Q736">
        <v>-64.676265</v>
      </c>
    </row>
    <row r="737" xml:space="preserve">
      <c r="A737" t="str">
        <v>B0103-26</v>
      </c>
      <c r="B737" t="str" xml:space="preserve">
        <v xml:space="preserve">3 Long Lane_x000d__x000d_
Hamilton, HS02</v>
      </c>
      <c r="C737" t="str">
        <v>Permitted Development</v>
      </c>
      <c r="D737" t="str">
        <v>Issued</v>
      </c>
      <c r="E737">
        <v>46122</v>
      </c>
      <c r="F737" t="str">
        <v>roof mounted PV Solar System 42 panels @ 370W/Panel, 19.6 sqft/Panel, System Area 825 sqft, New DC Output 15.54, AC Output 12.18, Annual Output 20956h, 20h wall mounted battery system</v>
      </c>
      <c r="G737">
        <v>12.18</v>
      </c>
      <c r="H737" t="str">
        <v>Residential</v>
      </c>
      <c r="I737">
        <v>46100</v>
      </c>
      <c r="J737" t="str">
        <v/>
      </c>
      <c r="K737" t="str">
        <v>Hamilton</v>
      </c>
      <c r="L737">
        <v>47948</v>
      </c>
      <c r="M737">
        <v>46127</v>
      </c>
      <c r="N737" t="str">
        <v/>
      </c>
      <c r="O737" t="str">
        <v>Yes</v>
      </c>
      <c r="P737">
        <v>32.3298972</v>
      </c>
      <c r="Q737">
        <v>-64.7003512</v>
      </c>
    </row>
    <row r="738" xml:space="preserve">
      <c r="A738" t="str">
        <v>B0038-26</v>
      </c>
      <c r="B738" t="str" xml:space="preserve">
        <v xml:space="preserve">18 St. Anne's Road_x000d__x000d_
Southampton, SN01</v>
      </c>
      <c r="C738" t="str">
        <v>Permitted Development</v>
      </c>
      <c r="D738" t="str">
        <v>Issued</v>
      </c>
      <c r="E738">
        <v>46122</v>
      </c>
      <c r="F738" t="str" xml:space="preserve">
        <v xml:space="preserve">Additional 4 modules @ 370W/module; Total Area 78.4 sq ft; Total DC output 1.48 ; Annual yield 2,220h; Total AC Output 1.48 . _x000d_
System Total 36 modules @ 370W/module Total Area 707.4 sq ft; Total DC output 13,320 ; Annual yield; 15,010 h. 1 10h Battery</v>
      </c>
      <c r="G738">
        <v>1.48</v>
      </c>
      <c r="H738" t="str">
        <v>Residential</v>
      </c>
      <c r="I738">
        <v>46059</v>
      </c>
      <c r="J738" t="str">
        <v/>
      </c>
      <c r="K738" t="str">
        <v>Southampton</v>
      </c>
      <c r="L738">
        <v>47948</v>
      </c>
      <c r="M738">
        <v>46128</v>
      </c>
      <c r="N738" t="str">
        <v/>
      </c>
      <c r="O738" t="str">
        <v>Yes</v>
      </c>
      <c r="P738">
        <v>32.251447</v>
      </c>
      <c r="Q738">
        <v>-64.841925</v>
      </c>
    </row>
    <row r="739" xml:space="preserve">
      <c r="A739" t="str">
        <v>B0109-26</v>
      </c>
      <c r="B739" t="str" xml:space="preserve">
        <v xml:space="preserve">2 St. Anne's Drive_x000d__x000d_
Southampton, SN01</v>
      </c>
      <c r="C739" t="str">
        <v>Permitted Development</v>
      </c>
      <c r="D739" t="str">
        <v>Complete</v>
      </c>
      <c r="E739">
        <v>46122</v>
      </c>
      <c r="F739" t="str">
        <v>Roof Mounted PV System 39 panels @ 370W/Panel, 19.6 sqft/Panel, System Area 766 sqft, DC Output 14.43, AC Output 11.31, Annual Output 17247h, 20h wall mounted battery system</v>
      </c>
      <c r="G739">
        <v>11.31</v>
      </c>
      <c r="H739" t="str">
        <v>Residential</v>
      </c>
      <c r="I739">
        <v>46104</v>
      </c>
      <c r="J739">
        <v>46168</v>
      </c>
      <c r="K739" t="str">
        <v>Southampton</v>
      </c>
      <c r="L739">
        <v>47948</v>
      </c>
      <c r="M739">
        <v>46154</v>
      </c>
      <c r="N739" t="str">
        <v/>
      </c>
      <c r="O739" t="str">
        <v>Yes</v>
      </c>
      <c r="P739">
        <v>32.2512559</v>
      </c>
      <c r="Q739">
        <v>-64.8443265</v>
      </c>
    </row>
    <row r="740" xml:space="preserve">
      <c r="A740" t="str">
        <v>BR0211-25</v>
      </c>
      <c r="B740" t="str" xml:space="preserve">
        <v xml:space="preserve">108 Harbour Road_x000d__x000d_
Warwick, PG01</v>
      </c>
      <c r="C740" t="str">
        <v>Building - Residential</v>
      </c>
      <c r="D740" t="str">
        <v>Issued</v>
      </c>
      <c r="E740">
        <v>46128</v>
      </c>
      <c r="F740" t="str" xml:space="preserve">
        <v xml:space="preserve">INTERNAL RENOVATIONS, SITE WORKS AND SOLAR PANELS._x000d_
PV Solare System, 53 panels @ 410 W/panels; 22.1 sq ft / panel; Total system area_x000d_
1171 sq ft; Total DC Output 21.7; Annual Output 28.163 h; Total AC Output 21.3; Energy storage system total power rating 30; Energy storage capacity 48h DC Coupled Battery Storage</v>
      </c>
      <c r="G740">
        <v>21.3</v>
      </c>
      <c r="H740" t="str">
        <v>Building Residential</v>
      </c>
      <c r="I740">
        <v>45975</v>
      </c>
      <c r="J740" t="str">
        <v/>
      </c>
      <c r="K740" t="str">
        <v>Warwick</v>
      </c>
      <c r="L740">
        <v>47954</v>
      </c>
      <c r="M740">
        <v>46212</v>
      </c>
      <c r="N740" t="str">
        <v/>
      </c>
      <c r="O740" t="str">
        <v>Yes</v>
      </c>
      <c r="P740">
        <v>32.2808345</v>
      </c>
      <c r="Q740">
        <v>-64.7962048</v>
      </c>
    </row>
    <row r="741" xml:space="preserve">
      <c r="A741" t="str">
        <v>B0110-26</v>
      </c>
      <c r="B741" t="str" xml:space="preserve">
        <v xml:space="preserve">17 Cavendish Road_x000d__x000d_
Pembroke, HM19</v>
      </c>
      <c r="C741" t="str">
        <v>Permitted Development</v>
      </c>
      <c r="D741" t="str">
        <v>Issued</v>
      </c>
      <c r="E741">
        <v>46129</v>
      </c>
      <c r="F741" t="str">
        <v>Roof-mounted PV Solar System: 23 panels @ 450W/panel; 22.9 sq ft/ panel; Total system area 515.2 sq ft; Total DC Output 10.35 ; Annual Output 15,007 h; Total AC Output 8.74  | Tesla Powerwall: Tesla Powerwall3 @ 13.5 / Powerwall; Total System Capacity 13.5 ; 4.57 sq ft/ Powerwall; Total sq ft 4.57</v>
      </c>
      <c r="G741">
        <v>8.74</v>
      </c>
      <c r="H741" t="str">
        <v>Residential</v>
      </c>
      <c r="I741">
        <v>46104</v>
      </c>
      <c r="J741" t="str">
        <v/>
      </c>
      <c r="K741" t="str">
        <v>Pembroke</v>
      </c>
      <c r="L741">
        <v>47955</v>
      </c>
      <c r="M741">
        <v>46219</v>
      </c>
      <c r="N741" t="str">
        <v/>
      </c>
      <c r="O741" t="str">
        <v>Yes</v>
      </c>
      <c r="P741">
        <v>32.2941853</v>
      </c>
      <c r="Q741">
        <v>-64.7736257</v>
      </c>
    </row>
    <row r="742" xml:space="preserve">
      <c r="A742" t="str">
        <v>B0133-26</v>
      </c>
      <c r="B742" t="str" xml:space="preserve">
        <v xml:space="preserve">9 Williams Estate_x000d__x000d_
Smiths, FL05</v>
      </c>
      <c r="C742" t="str">
        <v>Permitted Development</v>
      </c>
      <c r="D742" t="str">
        <v>Complete</v>
      </c>
      <c r="E742">
        <v>46132</v>
      </c>
      <c r="F742" t="str" xml:space="preserve">
        <v xml:space="preserve">Roof Mounted PV System: 13 panels @ 370W/panel, 19.6 sqft/panel, System Area 255 sqft. DC Output 4.81 , AC Output 3.77 , Annual Output 5250_x000d_
h. Existing PV System: DC Output 9.52 , AC Output 8.12 , Annual Output 13800 h. Total PV System: DC Output 14.33 , AC Output 11.89_x000d_
, Total Annual Output 19050 h. 20 h wall mounted battery system.</v>
      </c>
      <c r="G742">
        <v>11.89</v>
      </c>
      <c r="H742" t="str">
        <v>Residential</v>
      </c>
      <c r="I742">
        <v>46125</v>
      </c>
      <c r="J742">
        <v>46219</v>
      </c>
      <c r="K742" t="str">
        <v>Smiths</v>
      </c>
      <c r="L742">
        <v>47959</v>
      </c>
      <c r="M742">
        <v>46192</v>
      </c>
      <c r="N742" t="str">
        <v/>
      </c>
      <c r="O742" t="str">
        <v>Yes</v>
      </c>
      <c r="P742">
        <v>32.29434</v>
      </c>
      <c r="Q742">
        <v>-64.774311</v>
      </c>
    </row>
    <row r="743" xml:space="preserve">
      <c r="A743" t="str">
        <v>B0122-26</v>
      </c>
      <c r="B743" t="str" xml:space="preserve">
        <v xml:space="preserve">16 Echo Lane_x000d__x000d_
St. George's, GE01</v>
      </c>
      <c r="C743" t="str">
        <v>Permitted Development</v>
      </c>
      <c r="D743" t="str">
        <v>Complete</v>
      </c>
      <c r="E743">
        <v>46132</v>
      </c>
      <c r="F743" t="str" xml:space="preserve">
        <v xml:space="preserve">PV Solar System 28 panels @ 430 W/panel; 20.40 sq.ft./panel; Total System area 571.20 sq.ft.; Total DC Output 12.04 ; Annual Output 16,157h; Total AC Output 10.35. _x000d_
Energy Storage System total power rating 7.68; Energy Storage Capacity 10h</v>
      </c>
      <c r="G743">
        <v>10.35</v>
      </c>
      <c r="H743" t="str">
        <v>Residential</v>
      </c>
      <c r="I743">
        <v>46112</v>
      </c>
      <c r="J743">
        <v>46220</v>
      </c>
      <c r="K743" t="str">
        <v>St. George</v>
      </c>
      <c r="L743">
        <v>47959</v>
      </c>
      <c r="M743">
        <v>46212</v>
      </c>
      <c r="N743" t="str">
        <v/>
      </c>
      <c r="O743" t="str">
        <v>Yes</v>
      </c>
      <c r="P743">
        <v>32.3735401</v>
      </c>
      <c r="Q743">
        <v>-64.6967599</v>
      </c>
    </row>
    <row r="744" xml:space="preserve">
      <c r="A744" t="str">
        <v>BC0020-26</v>
      </c>
      <c r="B744" t="str" xml:space="preserve">
        <v xml:space="preserve">82 North Shore Road_x000d__x000d_
Devonshire, DV05</v>
      </c>
      <c r="C744" t="str">
        <v>Building - Commercial</v>
      </c>
      <c r="D744" t="str">
        <v>Issued</v>
      </c>
      <c r="E744">
        <v>46139</v>
      </c>
      <c r="F744" t="str" xml:space="preserve">
        <v xml:space="preserve">Roof-mounted PV Solar System: 150 Solar Panels @ 520W/Panel; 25.58 sq ft/ panel; Total System Area 3,837 sq ft; Total DC Output 78 ; Annual Output 113,100 h; Total AC Output 80 _x000d_
_x000d_
*Building only - P0342-25</v>
      </c>
      <c r="G744">
        <v>80</v>
      </c>
      <c r="H744" t="str">
        <v>Building Commercial</v>
      </c>
      <c r="I744">
        <v>46078</v>
      </c>
      <c r="J744" t="str">
        <v/>
      </c>
      <c r="K744" t="str">
        <v>Devonshire</v>
      </c>
      <c r="L744">
        <v>47966</v>
      </c>
      <c r="M744" t="str">
        <v/>
      </c>
      <c r="N744" t="str">
        <v/>
      </c>
      <c r="O744" t="str">
        <v>Yes</v>
      </c>
      <c r="P744">
        <v>32.3056539905629</v>
      </c>
      <c r="Q744">
        <v>-64.78817544197068</v>
      </c>
    </row>
    <row r="745" xml:space="preserve">
      <c r="A745" t="str">
        <v>B0136-26</v>
      </c>
      <c r="B745" t="str" xml:space="preserve">
        <v xml:space="preserve">19 Bayfield Road_x000d__x000d_
Warwick, WK04</v>
      </c>
      <c r="C745" t="str">
        <v>Permitted Development</v>
      </c>
      <c r="D745" t="str">
        <v>Complete</v>
      </c>
      <c r="E745">
        <v>46140</v>
      </c>
      <c r="F745" t="str" xml:space="preserve">
        <v xml:space="preserve">new Roof Mounted PV System: 11 panels @ 360W/panel, 19.5 sqft/panel, System Area 215 sqft. DC Output 3.96 , AC Output 2.64 , Annual Output 4251h. _x000d_
Existing PV System: DC Output 6.96, AC Output 5.28, Annual Output 9700 h. _x000d_
Total PV System: DC Output 11.44 , AC Output 7.92 , Total Annual Output 13951 h., _x000d_
new wall mounted battery - 30h, existing battery system - 10h, Total 40h battery system.</v>
      </c>
      <c r="G745">
        <v>7.92</v>
      </c>
      <c r="H745" t="str">
        <v>Residential</v>
      </c>
      <c r="I745">
        <v>46126</v>
      </c>
      <c r="J745">
        <v>46220</v>
      </c>
      <c r="K745" t="str">
        <v>Warwick</v>
      </c>
      <c r="L745">
        <v>47966</v>
      </c>
      <c r="M745">
        <v>46204</v>
      </c>
      <c r="N745" t="str">
        <v/>
      </c>
      <c r="O745" t="str">
        <v>Yes</v>
      </c>
      <c r="P745">
        <v>32.264409</v>
      </c>
      <c r="Q745">
        <v>-64.817993</v>
      </c>
    </row>
    <row r="746" xml:space="preserve">
      <c r="A746" t="str">
        <v>BR0025-26</v>
      </c>
      <c r="B746" t="str" xml:space="preserve">
        <v xml:space="preserve">38 South Road_x000d__x000d_
Devonshire, DV07</v>
      </c>
      <c r="C746" t="str">
        <v>Building - Residential</v>
      </c>
      <c r="D746" t="str">
        <v>Issued</v>
      </c>
      <c r="E746">
        <v>46148</v>
      </c>
      <c r="F746" t="str" xml:space="preserve">
        <v xml:space="preserve">ADDITION OF GROUND MOUNTED SOLAR ARRAYS TO EXISTING SOLAR SYSTEM.GARAGE: 9 MODULES. 420W/MODULE, 20.8SF/MODULE. TOTAL DC OUTPUT, 3,780W TOTAL MODULE AREA 187.2 SF. ESTIMATED ANNUAL YIELD:5051h. TOTAL AC OUTPUT 3780W. TWO 10h BATTERIES. GARDEN: 12 MODULES. 420W/MODULE, 20.8SF/MODULE. TOTAL DC OUTPUT, 5,040W TOTAL MODULE AREA 249.6 SF. ESTIMATED ANNUAL YIELD:6444h. TOTAL AC OUTPUT 5040W. TWO 10h BATTERIES. SYSTEM TOTAL 71 MODULES,_x000d_
50@300W/PANEL (mailto:50@300W/PANEL)_x000d_
_x000d_
21@420W/PANEL_x000d_
(mailto:21@420W/PANEL)_x000d_
. TOTAL AREA, 1318.8 SF. TOTAL DC WATTAGE, 25,224W. TOTAL ESTIMATED ANNUAL YIELD 32,231H49h OF BATTERY STORAGE</v>
      </c>
      <c r="G746">
        <v>5.04</v>
      </c>
      <c r="H746" t="str">
        <v>Building Residential</v>
      </c>
      <c r="I746">
        <v>46076</v>
      </c>
      <c r="J746" t="str">
        <v/>
      </c>
      <c r="K746" t="str">
        <v>Devonshire</v>
      </c>
      <c r="L746">
        <v>47974</v>
      </c>
      <c r="M746">
        <v>46150</v>
      </c>
      <c r="N746" t="str">
        <v/>
      </c>
      <c r="O746" t="str">
        <v>Yes</v>
      </c>
      <c r="P746">
        <v>32.29916</v>
      </c>
      <c r="Q746">
        <v>-64.7501123</v>
      </c>
    </row>
    <row r="747" xml:space="preserve">
      <c r="A747" t="str">
        <v>BR0043-26</v>
      </c>
      <c r="B747" t="str" xml:space="preserve">
        <v xml:space="preserve">110 South Road_x000d__x000d_
Paget, PG06</v>
      </c>
      <c r="C747" t="str">
        <v>Building - Residential</v>
      </c>
      <c r="D747" t="str">
        <v>Issued</v>
      </c>
      <c r="E747">
        <v>46149</v>
      </c>
      <c r="F747" t="str">
        <v>PV Solar System 10 panels @ 430 W/panel; 20.40 sq.ft./panel; Total System area 204 sq.ft.; Total DC Output 4.30 ; Annual Output 5,571h; Total AC Output 3.69.</v>
      </c>
      <c r="G747">
        <v>3.69</v>
      </c>
      <c r="H747" t="str">
        <v>Building Residential</v>
      </c>
      <c r="I747">
        <v>46106</v>
      </c>
      <c r="J747" t="str">
        <v/>
      </c>
      <c r="K747" t="str">
        <v>Paget</v>
      </c>
      <c r="L747">
        <v>47975</v>
      </c>
      <c r="M747">
        <v>46224</v>
      </c>
      <c r="N747" t="str">
        <v/>
      </c>
      <c r="O747" t="str">
        <v>Yes</v>
      </c>
      <c r="P747">
        <v>32.2807832</v>
      </c>
      <c r="Q747">
        <v>-64.775294</v>
      </c>
    </row>
    <row r="748" xml:space="preserve">
      <c r="A748" t="str">
        <v>BC0019-26</v>
      </c>
      <c r="B748" t="str" xml:space="preserve">
        <v xml:space="preserve">3 Market Lane_x000d__x000d_
Pembroke, HM07</v>
      </c>
      <c r="C748" t="str">
        <v>Building - Commercial</v>
      </c>
      <c r="D748" t="str">
        <v>Issued</v>
      </c>
      <c r="E748">
        <v>46155</v>
      </c>
      <c r="F748" t="str" xml:space="preserve">
        <v xml:space="preserve">Proposed additional 36 panels @ 240 W/panel; 13.39 sq ft/ panel; Area 482.04 sq ft; DC Output 8.64; Annual Output 11,866h; AC Output 7.43 _x000d_
_x000d_
Total System: 63 Panels; Total Area 979.08 sq ft; Total DC Output 17.79; Total AC Output 15.29; Total Annual Output 24387h</v>
      </c>
      <c r="G748">
        <v>15.29</v>
      </c>
      <c r="H748" t="str">
        <v>Building Commercial</v>
      </c>
      <c r="I748">
        <v>46073</v>
      </c>
      <c r="J748" t="str">
        <v/>
      </c>
      <c r="K748" t="str">
        <v>Pembroke</v>
      </c>
      <c r="L748">
        <v>47981</v>
      </c>
      <c r="M748">
        <v>46168</v>
      </c>
      <c r="N748" t="str">
        <v/>
      </c>
      <c r="O748" t="str">
        <v>Yes</v>
      </c>
      <c r="P748">
        <v>32.298309</v>
      </c>
      <c r="Q748">
        <v>-64.794108</v>
      </c>
    </row>
    <row r="749" xml:space="preserve">
      <c r="A749" t="str">
        <v>B0096-26</v>
      </c>
      <c r="B749" t="str" xml:space="preserve">
        <v xml:space="preserve">42 Mill Shares Road_x000d__x000d_
Pembroke, HM05</v>
      </c>
      <c r="C749" t="str">
        <v>Permitted Development</v>
      </c>
      <c r="D749" t="str">
        <v>Issued</v>
      </c>
      <c r="E749">
        <v>46174</v>
      </c>
      <c r="F749" t="str" xml:space="preserve">
        <v xml:space="preserve">PV Solar System 16 panels @ 430 W/panel; 20.40 sq.ft./panel; Total System area 326.40 sq.ft.; Total DC Output 6.88 ; Annual Output 8,914h; Total AC Output 5.91. _x000d_
Energy Storage System total power rating 7.68; Energy Storage Capacity 10h_x000d_
Modification to the existing pergola</v>
      </c>
      <c r="G749">
        <v>5.91</v>
      </c>
      <c r="H749" t="str">
        <v>Residential</v>
      </c>
      <c r="I749">
        <v>46094</v>
      </c>
      <c r="J749" t="str">
        <v/>
      </c>
      <c r="K749" t="str">
        <v>Pembroke</v>
      </c>
      <c r="L749">
        <v>48001</v>
      </c>
      <c r="M749">
        <v>46175</v>
      </c>
      <c r="N749" t="str">
        <v/>
      </c>
      <c r="O749" t="str">
        <v>Yes</v>
      </c>
      <c r="P749">
        <v>32.2981099</v>
      </c>
      <c r="Q749">
        <v>-64.8032879</v>
      </c>
    </row>
    <row r="750" xml:space="preserve">
      <c r="A750" t="str">
        <v>B0167-26</v>
      </c>
      <c r="B750" t="str" xml:space="preserve">
        <v xml:space="preserve">18 Tankfield Hill_x000d__x000d_
Paget, PG06</v>
      </c>
      <c r="C750" t="str">
        <v>Permitted Development</v>
      </c>
      <c r="D750" t="str">
        <v>Issued</v>
      </c>
      <c r="E750">
        <v>46174</v>
      </c>
      <c r="F750" t="str">
        <v>Roof-mounted PV Solar System: 25 Solar Panels @ 450W/Panel; 22.96 sq ft/ panel; Total System Area 574 sqft. 1 AC Coupled Battery @ 11 Peak Output &amp; 13.5h Storage Capacity.</v>
      </c>
      <c r="G750">
        <v>11.25</v>
      </c>
      <c r="H750" t="str">
        <v>Residential</v>
      </c>
      <c r="I750">
        <v>46154</v>
      </c>
      <c r="J750" t="str">
        <v/>
      </c>
      <c r="K750" t="str">
        <v>Paget</v>
      </c>
      <c r="L750">
        <v>48001</v>
      </c>
      <c r="M750">
        <v>46184</v>
      </c>
      <c r="N750" t="str">
        <v/>
      </c>
      <c r="O750" t="str">
        <v>Yes</v>
      </c>
      <c r="P750">
        <v>32.2819691</v>
      </c>
      <c r="Q750">
        <v>-64.7719616</v>
      </c>
    </row>
    <row r="751" xml:space="preserve">
      <c r="A751" t="str">
        <v>B0139-26</v>
      </c>
      <c r="B751" t="str" xml:space="preserve">
        <v xml:space="preserve">1 Rocklands View_x000d__x000d_
Warwick, WK07</v>
      </c>
      <c r="C751" t="str">
        <v>Permitted Development</v>
      </c>
      <c r="D751" t="str">
        <v>Issued</v>
      </c>
      <c r="E751">
        <v>46174</v>
      </c>
      <c r="F751" t="str" xml:space="preserve">
        <v xml:space="preserve">Rooftop PV Solar System 47 panels @ 435W/panel; 21.25 sq ft/panel; Total system area 999 sq ft;_x000d_
Total DC Output 20.445; Annual Output 30,581h; Total AC Output 20.036; Energy Storage System total power rating 30; Energy storage capacity 48h DC Coupled Battery Storage</v>
      </c>
      <c r="G751">
        <v>20.036</v>
      </c>
      <c r="H751" t="str">
        <v>Residential</v>
      </c>
      <c r="I751">
        <v>46130</v>
      </c>
      <c r="J751" t="str">
        <v/>
      </c>
      <c r="K751" t="str">
        <v>Warwick</v>
      </c>
      <c r="L751">
        <v>48001</v>
      </c>
      <c r="M751">
        <v>46192</v>
      </c>
      <c r="N751" t="str">
        <v/>
      </c>
      <c r="O751" t="str">
        <v>Yes</v>
      </c>
      <c r="P751">
        <v>32.265267</v>
      </c>
      <c r="Q751">
        <v>-64.800734</v>
      </c>
    </row>
    <row r="752" xml:space="preserve">
      <c r="A752" t="str">
        <v>B0147-26</v>
      </c>
      <c r="B752" t="str" xml:space="preserve">
        <v xml:space="preserve">2 Welcome View_x000d__x000d_
Southampton, SN01</v>
      </c>
      <c r="C752" t="str">
        <v>Permitted Development</v>
      </c>
      <c r="D752" t="str">
        <v>Issued</v>
      </c>
      <c r="E752">
        <v>46174</v>
      </c>
      <c r="F752" t="str" xml:space="preserve">
        <v xml:space="preserve">Roof-mounted PV Solar System: 13 panels @ 450W/panel; 22.4 sq ft/ panel; Total system area 291.2 sq ft; Total DC Output 5.85 ; Annual Output 8,482 h; Total AC Output 4.94  | Tesla Powerwall: Tesla Powerwall3 @ 13.5 / Powerwall; Total System Capacity 13.5 ; 4.57 sq ft/ Powerwall; Total sq ft 4.57Revision 1: Roof-mounted PV Solar System: 21 panels @ 450W/panel; 22.4 sq ft/ panel; Total system area 470.4 sq ft; Total DC Output 9.45 ; Annual Output 13,702 h; Total AC Output 7.98  | Tesla Powerwall: Tesla Powerwall3 @ 13.5 / Powerwall; Total System Capacity 13.5 ; 4.57 sq ft/ Powerwall; Total sq ft 4.57_x000d_
_x000d_
* The only change is to add 8 more panels</v>
      </c>
      <c r="G752">
        <v>4.94</v>
      </c>
      <c r="H752" t="str">
        <v>Residential</v>
      </c>
      <c r="I752">
        <v>46139</v>
      </c>
      <c r="J752" t="str">
        <v/>
      </c>
      <c r="K752" t="str">
        <v>Southampton</v>
      </c>
      <c r="L752">
        <v>48001</v>
      </c>
      <c r="M752">
        <v>46184</v>
      </c>
      <c r="N752" t="str">
        <v/>
      </c>
      <c r="O752" t="str">
        <v>Yes</v>
      </c>
      <c r="P752">
        <v>32.265453</v>
      </c>
      <c r="Q752">
        <v>-64.800223</v>
      </c>
    </row>
    <row r="753" xml:space="preserve">
      <c r="A753" t="str">
        <v>B0157-26</v>
      </c>
      <c r="B753" t="str" xml:space="preserve">
        <v xml:space="preserve">14 Cross Bay Road_x000d__x000d_
Southampton, SN02</v>
      </c>
      <c r="C753" t="str">
        <v>Permitted Development</v>
      </c>
      <c r="D753" t="str">
        <v>Complete</v>
      </c>
      <c r="E753">
        <v>46174</v>
      </c>
      <c r="F753" t="str" xml:space="preserve">
        <v xml:space="preserve">Proposed Addition: 10 Panels Added to Existing PV System @ 450 W/Panel; 22.4 sq ft/Panel; Total (Added) sq ft 224 Total (Added) System Capacity 4.55 ; Total (Added) Annual Output 6,525 h_x000d_
_x000d_
Existing system: 23 panels @ 405 w/panel; 20.9 sq ft/panel; Total Sq ft 480.7; Total System Capacity 9.31 ; Total Annual Output 13,506 h_x000d_
_x000d_
Total System: 704.7 sq ft; Total System Capacity 13.81; Total Annual Output 20,031 h</v>
      </c>
      <c r="G753">
        <v>13.81</v>
      </c>
      <c r="H753" t="str">
        <v>Residential</v>
      </c>
      <c r="I753">
        <v>46146</v>
      </c>
      <c r="J753">
        <v>46225</v>
      </c>
      <c r="K753" t="str">
        <v>Southampton</v>
      </c>
      <c r="L753">
        <v>48001</v>
      </c>
      <c r="M753">
        <v>46218</v>
      </c>
      <c r="N753" t="str">
        <v/>
      </c>
      <c r="O753" t="str">
        <v>Yes</v>
      </c>
      <c r="P753">
        <v>32.250044</v>
      </c>
      <c r="Q753">
        <v>-64.829252</v>
      </c>
    </row>
    <row r="754" xml:space="preserve">
      <c r="A754" t="str">
        <v>BC0052-25</v>
      </c>
      <c r="B754" t="str" xml:space="preserve">
        <v xml:space="preserve">18 Quarry Road_x000d__x000d_
Hamilton, CR04</v>
      </c>
      <c r="C754" t="str">
        <v>Building - Commercial</v>
      </c>
      <c r="D754" t="str">
        <v>Issued</v>
      </c>
      <c r="E754">
        <v>46190</v>
      </c>
      <c r="F754" t="str">
        <v xml:space="preserve">Proposed Asphalt Plant, Aggregate Screening Plant, New Workshop, Lab, Two Container Office Structures, and Site Services, Decommissioning and Removal of Existing Asphalt Plant, Proposed New 8 Ft High Chain Link Fence and Double Sliding Gate, Regraded Portion of Land, Demolition of Specified Buildings and Structures, Asphalt Plant Access Road, Cold Feed Bins, Ramps, Sorted Aggregate Bunkers and 115 Roof Mounted Solar PV Solar System 115 panels @ 405W/panel; 21.496 sq ft/ panel; Total system area 2,472.04 sq ft; Total DC Output 46.575 ; Annual Output 76,919 h; Total AC Output 58.00 </v>
      </c>
      <c r="G754">
        <v>58</v>
      </c>
      <c r="H754" t="str">
        <v>Building Commercial</v>
      </c>
      <c r="I754">
        <v>45793</v>
      </c>
      <c r="J754" t="str">
        <v/>
      </c>
      <c r="K754" t="str">
        <v>Hamilton</v>
      </c>
      <c r="L754">
        <v>48016</v>
      </c>
      <c r="M754">
        <v>46220</v>
      </c>
      <c r="N754" t="str">
        <v/>
      </c>
      <c r="O754" t="str">
        <v>Yes</v>
      </c>
      <c r="P754">
        <v>32.3401286</v>
      </c>
      <c r="Q754">
        <v>-64.706936</v>
      </c>
    </row>
    <row r="755" xml:space="preserve">
      <c r="A755" t="str">
        <v>B0182-26</v>
      </c>
      <c r="B755" t="str" xml:space="preserve">
        <v xml:space="preserve">100 Harbour Road_x000d__x000d_
Paget, PG05</v>
      </c>
      <c r="C755" t="str">
        <v>Permitted Development</v>
      </c>
      <c r="D755" t="str">
        <v>Complete</v>
      </c>
      <c r="E755">
        <v>46190</v>
      </c>
      <c r="F755" t="str" xml:space="preserve">
        <v xml:space="preserve">Roof Mounted PV System: 14 panels @ 370W/panel, 19.6 sqft/panel, System Area 275 sqft. DC Output 5.18 , AC Output 4.06 , Annual Output 6719_x000d_
h. Existing PV System: DC Output 9490 , AC Output 7.54 , Annual Output 12300 h. Total PV System: DC Output 9495.18 , AC Output 11.6_x000d_
, Total Annual Output 19019 h. 10 h wall mounted battery system.</v>
      </c>
      <c r="G755">
        <v>11.6</v>
      </c>
      <c r="H755" t="str">
        <v>Residential</v>
      </c>
      <c r="I755">
        <v>46160</v>
      </c>
      <c r="J755">
        <v>46225</v>
      </c>
      <c r="K755" t="str">
        <v>Paget</v>
      </c>
      <c r="L755">
        <v>48016</v>
      </c>
      <c r="M755">
        <v>46213</v>
      </c>
      <c r="N755" t="str">
        <v/>
      </c>
      <c r="O755" t="str">
        <v>Yes</v>
      </c>
      <c r="P755">
        <v>32.280359</v>
      </c>
      <c r="Q755">
        <v>-64.791405</v>
      </c>
    </row>
    <row r="756" xml:space="preserve">
      <c r="A756" t="str">
        <v>B0180-26</v>
      </c>
      <c r="B756" t="str" xml:space="preserve">
        <v xml:space="preserve">19 Rocky Bay Lane_x000d__x000d_
Devonshire, DV07</v>
      </c>
      <c r="C756" t="str">
        <v>Permitted Development</v>
      </c>
      <c r="D756" t="str">
        <v>Issued</v>
      </c>
      <c r="E756">
        <v>46191</v>
      </c>
      <c r="F756" t="str" xml:space="preserve">
        <v xml:space="preserve">Roof Mounted PV System: 7 panels @ 370W/panel, 19.6 sqft/panel, System Area 137 sqft. DC Output 2.59 , AC Output 2.03 , Annual Output 3506_x000d_
h. Existing PV System: DC Output 3.74 , AC Output 3.19 , Annual Output 5300 h. Total PV System: DC Output 6.33 , AC Output 5.22 ,_x000d_
Total Annual Output 8806 h. 20 h wall mounted battery system</v>
      </c>
      <c r="G756">
        <v>5.22</v>
      </c>
      <c r="H756" t="str">
        <v>Residential</v>
      </c>
      <c r="I756">
        <v>46157</v>
      </c>
      <c r="J756" t="str">
        <v/>
      </c>
      <c r="K756" t="str">
        <v>Devonshire</v>
      </c>
      <c r="L756">
        <v>48017</v>
      </c>
      <c r="M756">
        <v>46202</v>
      </c>
      <c r="N756" t="str">
        <v/>
      </c>
      <c r="O756" t="str">
        <v>Yes</v>
      </c>
      <c r="P756">
        <v>32.299717</v>
      </c>
      <c r="Q756">
        <v>-64.747314</v>
      </c>
    </row>
    <row r="757" xml:space="preserve">
      <c r="A757" t="str">
        <v>B0188-26</v>
      </c>
      <c r="B757" t="str" xml:space="preserve">
        <v xml:space="preserve">71 North Shore Road_x000d__x000d_
Hamilton, CR01</v>
      </c>
      <c r="C757" t="str">
        <v>Permitted Development</v>
      </c>
      <c r="D757" t="str">
        <v>Issued</v>
      </c>
      <c r="E757">
        <v>46195</v>
      </c>
      <c r="F757" t="str" xml:space="preserve">
        <v xml:space="preserve">New Roof Mounted PV System 8 panels @ 370W/Panel, 19.6 sqft/Panel, New System Area 157 sqft, New DC Output 2.96, AC Output_x000d_
2.32, Annual Output 3531h</v>
      </c>
      <c r="G757">
        <v>2.32</v>
      </c>
      <c r="H757" t="str">
        <v>Commercial</v>
      </c>
      <c r="I757">
        <v>46167</v>
      </c>
      <c r="J757" t="str">
        <v/>
      </c>
      <c r="K757" t="str">
        <v>Hamilton</v>
      </c>
      <c r="L757">
        <v>48022</v>
      </c>
      <c r="M757" t="str">
        <v/>
      </c>
      <c r="N757" t="str">
        <v/>
      </c>
      <c r="O757" t="str">
        <v>Yes</v>
      </c>
      <c r="P757">
        <v>32.335754</v>
      </c>
      <c r="Q757">
        <v>-64.736608</v>
      </c>
    </row>
    <row r="758" xml:space="preserve">
      <c r="A758" t="str">
        <v>B0197-26</v>
      </c>
      <c r="B758" t="str" xml:space="preserve">
        <v xml:space="preserve">32 Knapton Estates Road_x000d__x000d_
Smiths, FL08</v>
      </c>
      <c r="C758" t="str">
        <v>Permitted Development</v>
      </c>
      <c r="D758" t="str">
        <v>Issued</v>
      </c>
      <c r="E758">
        <v>46195</v>
      </c>
      <c r="F758" t="str" xml:space="preserve">
        <v xml:space="preserve">Roof Mounted PV System: 21 panels @ 440W/panel, 23.2 sqft/panel, System Area 488 sqft. DC Output 9.24 , AC Output 7.98 , Annual Output 12224_x000d_
h.</v>
      </c>
      <c r="G758">
        <v>7.98</v>
      </c>
      <c r="H758" t="str">
        <v>Residential</v>
      </c>
      <c r="I758">
        <v>46171</v>
      </c>
      <c r="J758" t="str">
        <v/>
      </c>
      <c r="K758" t="str">
        <v>Smiths</v>
      </c>
      <c r="L758">
        <v>48022</v>
      </c>
      <c r="M758">
        <v>46198</v>
      </c>
      <c r="N758" t="str">
        <v/>
      </c>
      <c r="O758" t="str">
        <v>Yes</v>
      </c>
      <c r="P758">
        <v>32.317248</v>
      </c>
      <c r="Q758">
        <v>-64.716717</v>
      </c>
    </row>
    <row r="759" xml:space="preserve">
      <c r="A759" t="str">
        <v>B0198-26</v>
      </c>
      <c r="B759" t="str" xml:space="preserve">
        <v xml:space="preserve">20 Farmer's Lane_x000d__x000d_
Warwick, WK04, Bermuda</v>
      </c>
      <c r="C759" t="str">
        <v>Permitted Development</v>
      </c>
      <c r="D759" t="str">
        <v>Issued</v>
      </c>
      <c r="E759">
        <v>46195</v>
      </c>
      <c r="F759" t="str" xml:space="preserve">
        <v xml:space="preserve">Roof Mounted PV System: 15 panels @ 370W/panel, 19.6 sqft/panel, System Area 295 sqft. DC Output 5.55 , AC Output 4.35 , Annual Output 8000_x000d_
h.</v>
      </c>
      <c r="G759">
        <v>4.35</v>
      </c>
      <c r="H759" t="str">
        <v>Residential</v>
      </c>
      <c r="I759">
        <v>46171</v>
      </c>
      <c r="J759" t="str">
        <v/>
      </c>
      <c r="K759" t="str">
        <v>Warwick</v>
      </c>
      <c r="L759">
        <v>48022</v>
      </c>
      <c r="M759">
        <v>46203</v>
      </c>
      <c r="N759" t="str">
        <v/>
      </c>
      <c r="O759" t="str">
        <v>Yes</v>
      </c>
      <c r="P759">
        <v>32.2650444</v>
      </c>
      <c r="Q759">
        <v>-64.8161718</v>
      </c>
    </row>
    <row r="760" xml:space="preserve">
      <c r="A760" t="str">
        <v>B0177-26</v>
      </c>
      <c r="B760" t="str" xml:space="preserve">
        <v xml:space="preserve">35 St. Anne's Road_x000d__x000d_
Southampton, SN02</v>
      </c>
      <c r="C760" t="str">
        <v>Permitted Development</v>
      </c>
      <c r="D760" t="str">
        <v>Issued</v>
      </c>
      <c r="E760">
        <v>46195</v>
      </c>
      <c r="F760" t="str">
        <v>PV Solar System 40 panels @ 430 W/panel; 20.40 sq.ft./panel; Total System area 816 sq.ft.; Total DC Output 17.20 ; Annual Output 22,286h; Total AC Output 14.79.</v>
      </c>
      <c r="G760">
        <v>14.79</v>
      </c>
      <c r="H760" t="str">
        <v>Residential</v>
      </c>
      <c r="I760">
        <v>46156</v>
      </c>
      <c r="J760" t="str">
        <v/>
      </c>
      <c r="K760" t="str">
        <v>Southampton</v>
      </c>
      <c r="L760">
        <v>48022</v>
      </c>
      <c r="M760">
        <v>46225</v>
      </c>
      <c r="N760" t="str">
        <v/>
      </c>
      <c r="O760" t="str">
        <v>Yes</v>
      </c>
      <c r="P760">
        <v>32.250949</v>
      </c>
      <c r="Q760">
        <v>-64.843562</v>
      </c>
    </row>
    <row r="761" xml:space="preserve">
      <c r="A761" t="str">
        <v>BR0086-26</v>
      </c>
      <c r="B761" t="str" xml:space="preserve">
        <v xml:space="preserve">22 Berry Hill Road_x000d__x000d_
Paget, DV04</v>
      </c>
      <c r="C761" t="str">
        <v>Building - Residential</v>
      </c>
      <c r="D761" t="str">
        <v>Issued</v>
      </c>
      <c r="E761">
        <v>46196</v>
      </c>
      <c r="F761" t="str" xml:space="preserve">
        <v xml:space="preserve">PV Solar System 20 Panels, 420w/Panel 20.8sf/Panel. Total DC Output 8,400w, Total system area 416sf. Annual Output, 12,491h. Total AC Output; 6,600w_x000d_
5h Battery</v>
      </c>
      <c r="G761">
        <v>6.6</v>
      </c>
      <c r="H761" t="str">
        <v>Building Residential</v>
      </c>
      <c r="I761">
        <v>46168</v>
      </c>
      <c r="J761" t="str">
        <v/>
      </c>
      <c r="K761" t="str">
        <v>Paget</v>
      </c>
      <c r="L761">
        <v>48022</v>
      </c>
      <c r="M761" t="str">
        <v/>
      </c>
      <c r="N761" t="str">
        <v/>
      </c>
      <c r="O761" t="str">
        <v>Yes</v>
      </c>
      <c r="P761">
        <v>32.2940416</v>
      </c>
      <c r="Q761">
        <v>-64.7640316</v>
      </c>
    </row>
    <row r="762" xml:space="preserve">
      <c r="A762" t="str">
        <v>BR0096-26</v>
      </c>
      <c r="B762" t="str" xml:space="preserve">
        <v xml:space="preserve">81 Ferry Road_x000d__x000d_
St. George's, GE01</v>
      </c>
      <c r="C762" t="str">
        <v>Building - Residential</v>
      </c>
      <c r="D762" t="str">
        <v>Issued</v>
      </c>
      <c r="E762">
        <v>46197</v>
      </c>
      <c r="F762" t="str">
        <v>Proposed Ground Mounted PV Solar System (13 Panels Total); @ 430 W per Panel; @ 21 sq ft per Panel; Total System Area 267 sq ft.; Annual Total System Output 8900 h; Total DC Output 5.59 ; Total AC Output 4.81 .</v>
      </c>
      <c r="G762">
        <v>4.81</v>
      </c>
      <c r="H762" t="str">
        <v>Building Residential</v>
      </c>
      <c r="I762">
        <v>46183</v>
      </c>
      <c r="J762" t="str">
        <v/>
      </c>
      <c r="K762" t="str">
        <v>St. George</v>
      </c>
      <c r="L762">
        <v>48023</v>
      </c>
      <c r="M762" t="str">
        <v/>
      </c>
      <c r="N762" t="str">
        <v/>
      </c>
      <c r="O762" t="str">
        <v>Yes</v>
      </c>
      <c r="P762">
        <v>32.3665663</v>
      </c>
      <c r="Q762">
        <v>-64.7085009</v>
      </c>
    </row>
    <row r="763" xml:space="preserve">
      <c r="A763" t="str">
        <v>BR0082-26</v>
      </c>
      <c r="B763" t="str" xml:space="preserve">
        <v xml:space="preserve">9 Inland Lane_x000d__x000d_
Pembroke, HM03</v>
      </c>
      <c r="C763" t="str">
        <v>Building - Residential</v>
      </c>
      <c r="D763" t="str">
        <v>Issued</v>
      </c>
      <c r="E763">
        <v>46197</v>
      </c>
      <c r="F763" t="str" xml:space="preserve">
        <v xml:space="preserve">PV Solar System 5 panels @ 550 W/panel; 28 sq ft/ panel; Total System_x000d_
Area 140 sq ft; Total DC Output 2.75 ; Annual Output 4,137 h; Total_x000d_
AC Output 3 </v>
      </c>
      <c r="G763">
        <v>3</v>
      </c>
      <c r="H763" t="str">
        <v>Building Residential</v>
      </c>
      <c r="I763">
        <v>46157</v>
      </c>
      <c r="J763" t="str">
        <v/>
      </c>
      <c r="K763" t="str">
        <v>Pembroke</v>
      </c>
      <c r="L763">
        <v>48023</v>
      </c>
      <c r="M763" t="str">
        <v/>
      </c>
      <c r="N763" t="str">
        <v/>
      </c>
      <c r="O763" t="str">
        <v>Yes</v>
      </c>
      <c r="P763">
        <v>32.302365</v>
      </c>
      <c r="Q763">
        <v>-64.8018544</v>
      </c>
    </row>
    <row r="764" xml:space="preserve">
      <c r="A764" t="str">
        <v>B0204-26</v>
      </c>
      <c r="B764" t="str" xml:space="preserve">
        <v xml:space="preserve">44 Harrington Hundreds Road_x000d__x000d_
Smiths, FL06</v>
      </c>
      <c r="C764" t="str">
        <v>Permitted Development</v>
      </c>
      <c r="D764" t="str">
        <v>Issued</v>
      </c>
      <c r="E764">
        <v>46199</v>
      </c>
      <c r="F764" t="str">
        <v>Roof-mounted PV Solar System: 24 panels @ 450W/panel; 22.4 sq ft/ panel; Total system area 537.2 sq ft; Total DC Output 10.8 ; Annual Output 15,660 h; Total AC Output 11.5  | Tesla Powerwall: 2 Tesla Powerwall3 @ 13.5 / Powerwall; Total System Capacity 27 ; 4.57 sq ft/ Powerwall; Total sq ft 9.14</v>
      </c>
      <c r="G764">
        <v>11.5</v>
      </c>
      <c r="H764" t="str">
        <v>Residential</v>
      </c>
      <c r="I764">
        <v>46174</v>
      </c>
      <c r="J764" t="str">
        <v/>
      </c>
      <c r="K764" t="str">
        <v>Smiths</v>
      </c>
      <c r="L764">
        <v>48025</v>
      </c>
      <c r="M764" t="str">
        <v/>
      </c>
      <c r="N764" t="str">
        <v/>
      </c>
      <c r="O764" t="str">
        <v>Yes</v>
      </c>
      <c r="P764">
        <v>32.320632</v>
      </c>
      <c r="Q764">
        <v>-64.72602</v>
      </c>
    </row>
    <row r="765" xml:space="preserve">
      <c r="A765" t="str">
        <v>B0228-26</v>
      </c>
      <c r="B765" t="str" xml:space="preserve">
        <v xml:space="preserve">12 Speakers Drive_x000d__x000d_
St. George's, GE02</v>
      </c>
      <c r="C765" t="str">
        <v>Permitted Development</v>
      </c>
      <c r="D765" t="str">
        <v>Issued</v>
      </c>
      <c r="E765">
        <v>46199</v>
      </c>
      <c r="F765" t="str" xml:space="preserve">
        <v xml:space="preserve">Roof Mounted PV System: 11 panels @ 440W/panel, 23.4 sqft/panel, System Area 258 sqft. DC Output 4.84 , AC Output 3.84 , Annual Output 6038_x000d_
h. 20 h wall mounted battery system.</v>
      </c>
      <c r="G765">
        <v>3.84</v>
      </c>
      <c r="H765" t="str">
        <v>Residential</v>
      </c>
      <c r="I765">
        <v>46192</v>
      </c>
      <c r="J765" t="str">
        <v/>
      </c>
      <c r="K765" t="str">
        <v>St. George</v>
      </c>
      <c r="L765">
        <v>48025</v>
      </c>
      <c r="M765" t="str">
        <v/>
      </c>
      <c r="N765" t="str">
        <v/>
      </c>
      <c r="O765" t="str">
        <v>Yes</v>
      </c>
      <c r="P765">
        <v>32.3778255</v>
      </c>
      <c r="Q765">
        <v>-64.6851287</v>
      </c>
    </row>
    <row r="766" xml:space="preserve">
      <c r="A766" t="str">
        <v>B0193-26</v>
      </c>
      <c r="B766" t="str" xml:space="preserve">
        <v xml:space="preserve">2 North Ridge Close_x000d__x000d_
Devonshire, DV05</v>
      </c>
      <c r="C766" t="str">
        <v>Permitted Development</v>
      </c>
      <c r="D766" t="str">
        <v>Issued</v>
      </c>
      <c r="E766">
        <v>46202</v>
      </c>
      <c r="F766" t="str" xml:space="preserve">
        <v xml:space="preserve">PV Solar System 14 panels @ 430 W/panel; 20.40 sq.ft./panel; Total System area 285.60 sq.ft.; Total DC Output 6.02 ; Annual Output 8,268h; Total AC Output 5.18. _x000d_
Energy Storage System total power rating 7.68; Energy Storage Capacity 10h</v>
      </c>
      <c r="G766">
        <v>5.18</v>
      </c>
      <c r="H766" t="str">
        <v>Residential</v>
      </c>
      <c r="I766">
        <v>46170</v>
      </c>
      <c r="J766" t="str">
        <v/>
      </c>
      <c r="K766" t="str">
        <v>Devonshire</v>
      </c>
      <c r="L766">
        <v>48029</v>
      </c>
      <c r="M766">
        <v>46205</v>
      </c>
      <c r="N766" t="str">
        <v/>
      </c>
      <c r="O766" t="str">
        <v>Yes</v>
      </c>
      <c r="P766">
        <v>32.3122977</v>
      </c>
      <c r="Q766">
        <v>-64.7551709</v>
      </c>
    </row>
    <row r="767" xml:space="preserve">
      <c r="A767" t="str">
        <v>B0222-26</v>
      </c>
      <c r="B767" t="str" xml:space="preserve">
        <v xml:space="preserve">191 South Road_x000d__x000d_
Paget, DV04</v>
      </c>
      <c r="C767" t="str">
        <v>Permitted Development</v>
      </c>
      <c r="D767" t="str">
        <v>Issued</v>
      </c>
      <c r="E767">
        <v>46202</v>
      </c>
      <c r="F767" t="str" xml:space="preserve">
        <v xml:space="preserve">Roof Mounted PV System: 13 panels @ 370W/panel, 19.6 sqft/panel, System Area 255 sqft. DC Output 4.81 , AC Output 3.77 , Annual Output 5120_x000d_
h. Existing PV System: DC Output 8.64 , AC Output 6.96 , Annual Output 9300 h. Total PV System: DC Output 13.45 , AC Output 10.73 ,_x000d_
Total Annual Output 14420 h. 20 h wall mounted battery system.</v>
      </c>
      <c r="G767">
        <v>10.73</v>
      </c>
      <c r="H767" t="str">
        <v>Residential</v>
      </c>
      <c r="I767">
        <v>46182</v>
      </c>
      <c r="J767" t="str">
        <v/>
      </c>
      <c r="K767" t="str">
        <v>Paget</v>
      </c>
      <c r="L767">
        <v>48029</v>
      </c>
      <c r="M767">
        <v>46206</v>
      </c>
      <c r="N767" t="str">
        <v/>
      </c>
      <c r="O767" t="str">
        <v>Yes</v>
      </c>
      <c r="P767">
        <v>32.2936511</v>
      </c>
      <c r="Q767">
        <v>-64.7617649</v>
      </c>
    </row>
    <row r="768" xml:space="preserve">
      <c r="A768" t="str">
        <v>B0210-26</v>
      </c>
      <c r="B768" t="str" xml:space="preserve">
        <v xml:space="preserve">6 Bayfield Road_x000d__x000d_
Warwick, WK04</v>
      </c>
      <c r="C768" t="str">
        <v>Permitted Development</v>
      </c>
      <c r="D768" t="str">
        <v>Issued</v>
      </c>
      <c r="E768">
        <v>46202</v>
      </c>
      <c r="F768" t="str" xml:space="preserve">
        <v xml:space="preserve">Roof Mounted PV System: 19 panels @ 440W/panel, 23.2 sqft/panel, System Area 441 sqft. DC Output 8.36 , AC Output 7.22 , Annual Output 11136_x000d_
h. 10 h wall mounted battery system.</v>
      </c>
      <c r="G768">
        <v>7.22</v>
      </c>
      <c r="H768" t="str">
        <v>Residential</v>
      </c>
      <c r="I768">
        <v>46176</v>
      </c>
      <c r="J768" t="str">
        <v/>
      </c>
      <c r="K768" t="str">
        <v>Warwick</v>
      </c>
      <c r="L768">
        <v>48029</v>
      </c>
      <c r="M768">
        <v>46206</v>
      </c>
      <c r="N768" t="str">
        <v/>
      </c>
      <c r="O768" t="str">
        <v>Yes</v>
      </c>
      <c r="P768">
        <v>32.26494</v>
      </c>
      <c r="Q768">
        <v>-64.820282</v>
      </c>
    </row>
    <row r="769" xml:space="preserve">
      <c r="A769" t="str">
        <v>B0132-26</v>
      </c>
      <c r="B769" t="str" xml:space="preserve">
        <v xml:space="preserve">84 North Shore Road_x000d__x000d_
Hamilton, CR01</v>
      </c>
      <c r="C769" t="str">
        <v>Permitted Development</v>
      </c>
      <c r="D769" t="str">
        <v>Issued</v>
      </c>
      <c r="E769">
        <v>46204</v>
      </c>
      <c r="F769" t="str">
        <v>Proposed Ground Mounted Solar Array System (40 Panels Total). 21.5 sq ft per Panel, 860 sq ft Total. 430W per Panel; Annual Total System Output: 22,286Wh; Total DC output: 17.2; Total AC output: 14.62. Energy storage system total power rating 15.36 ; Energy storage capacity 20 h</v>
      </c>
      <c r="G769">
        <v>14.62</v>
      </c>
      <c r="H769" t="str">
        <v>Residential</v>
      </c>
      <c r="I769">
        <v>46125</v>
      </c>
      <c r="J769" t="str">
        <v/>
      </c>
      <c r="K769" t="str">
        <v>Hamilton</v>
      </c>
      <c r="L769">
        <v>48030</v>
      </c>
      <c r="M769" t="str">
        <v/>
      </c>
      <c r="N769" t="str">
        <v/>
      </c>
      <c r="O769" t="str">
        <v>Yes</v>
      </c>
      <c r="P769">
        <v>32.324809</v>
      </c>
      <c r="Q769">
        <v>-64.741325</v>
      </c>
    </row>
    <row r="770" xml:space="preserve">
      <c r="A770" t="str">
        <v>B0244-26</v>
      </c>
      <c r="B770" t="str" xml:space="preserve">
        <v xml:space="preserve">18 Lightbourne Lane_x000d__x000d_
Smiths, FL02</v>
      </c>
      <c r="C770" t="str">
        <v>Permitted Development</v>
      </c>
      <c r="D770" t="str">
        <v>Issued</v>
      </c>
      <c r="E770">
        <v>46209</v>
      </c>
      <c r="F770" t="str">
        <v>PV Solar System 15 panels @ 500 W/panel; 21.96 sq.ft./panel; Total System area 329.4 sq.ft.; Total DC Output 7.5 ; Annual Output 10,301h; Total AC Output 6.45.</v>
      </c>
      <c r="G770">
        <v>6.45</v>
      </c>
      <c r="H770" t="str">
        <v>Residential</v>
      </c>
      <c r="I770">
        <v>46202</v>
      </c>
      <c r="J770" t="str">
        <v/>
      </c>
      <c r="K770" t="str">
        <v>Smiths</v>
      </c>
      <c r="L770">
        <v>48036</v>
      </c>
      <c r="M770" t="str">
        <v/>
      </c>
      <c r="N770" t="str">
        <v/>
      </c>
      <c r="O770" t="str">
        <v>Yes</v>
      </c>
      <c r="P770">
        <v>32.3098527</v>
      </c>
      <c r="Q770">
        <v>-64.7435238</v>
      </c>
    </row>
    <row r="771" xml:space="preserve">
      <c r="A771" t="str">
        <v>B0213-26</v>
      </c>
      <c r="B771" t="str" xml:space="preserve">
        <v xml:space="preserve">13 Turtle Bay Lane_x000d__x000d_
Southampton, SN01</v>
      </c>
      <c r="C771" t="str">
        <v>Permitted Development</v>
      </c>
      <c r="D771" t="str">
        <v>Issued</v>
      </c>
      <c r="E771">
        <v>46211</v>
      </c>
      <c r="F771" t="str" xml:space="preserve">
        <v xml:space="preserve">PV Solar System 35 panels @ 430 W/panel; 20.40 sq.ft./panel; Total System area 714 sq.ft.; Total DC Output 15.05 ; Annual Output 20,670h; Total AC Output 12.94. _x000d_
Energy Storage System total power rating 15.36; Energy Storage Capacity 20h</v>
      </c>
      <c r="G771">
        <v>12.94</v>
      </c>
      <c r="H771" t="str">
        <v>Residential</v>
      </c>
      <c r="I771">
        <v>46177</v>
      </c>
      <c r="J771" t="str">
        <v/>
      </c>
      <c r="K771" t="str">
        <v>Southampton</v>
      </c>
      <c r="L771">
        <v>48037</v>
      </c>
      <c r="M771">
        <v>46223</v>
      </c>
      <c r="N771" t="str">
        <v/>
      </c>
      <c r="O771" t="str">
        <v>Yes</v>
      </c>
      <c r="P771">
        <v>32.2509501</v>
      </c>
      <c r="Q771">
        <v>-64.8525184</v>
      </c>
    </row>
    <row r="772" xml:space="preserve">
      <c r="A772" t="str">
        <v>B0242-26</v>
      </c>
      <c r="B772" t="str" xml:space="preserve">
        <v xml:space="preserve">8 Seabright Avenue_x000d__x000d_
Paget, DV04</v>
      </c>
      <c r="C772" t="str">
        <v>Permitted Development</v>
      </c>
      <c r="D772" t="str">
        <v>Issued</v>
      </c>
      <c r="E772">
        <v>46213</v>
      </c>
      <c r="F772" t="str" xml:space="preserve">
        <v xml:space="preserve">Roof Mounted PV System: 32 panels @ 440W/panel, 21 sqft/panel, System Area 671 sqft. DC Output 14.08 , AC Output 12.16 , Annual Output 18174_x000d_
h. 30 h wall mounted battery system.</v>
      </c>
      <c r="G772">
        <v>12.16</v>
      </c>
      <c r="H772" t="str">
        <v>Residential</v>
      </c>
      <c r="I772">
        <v>46202</v>
      </c>
      <c r="J772" t="str">
        <v/>
      </c>
      <c r="K772" t="str">
        <v>Paget</v>
      </c>
      <c r="L772">
        <v>48039</v>
      </c>
      <c r="M772" t="str">
        <v/>
      </c>
      <c r="N772" t="str">
        <v/>
      </c>
      <c r="O772" t="str">
        <v>Yes</v>
      </c>
      <c r="P772">
        <v>32.2883305</v>
      </c>
      <c r="Q772">
        <v>-64.7623112</v>
      </c>
    </row>
    <row r="773" xml:space="preserve">
      <c r="A773" t="str">
        <v>B0214-26</v>
      </c>
      <c r="B773" t="str" xml:space="preserve">
        <v xml:space="preserve">4 Mid Ocean Drive_x000d__x000d_
St. George's, HS02</v>
      </c>
      <c r="C773" t="str">
        <v>Permitted Development</v>
      </c>
      <c r="D773" t="str">
        <v>Issued</v>
      </c>
      <c r="E773">
        <v>46213</v>
      </c>
      <c r="F773" t="str">
        <v xml:space="preserve">Roof-mounted PV Solar System: 33 panels @ 440W/panel; 20.9 sq ft/ panel; Total system area 693 sq ft; Total DC Output 14.52 ; Annual Output 21,054 h; Total AC Output 15.68 </v>
      </c>
      <c r="G773">
        <v>15.68</v>
      </c>
      <c r="H773" t="str">
        <v>Residential</v>
      </c>
      <c r="I773">
        <v>46177</v>
      </c>
      <c r="J773" t="str">
        <v/>
      </c>
      <c r="K773" t="str">
        <v>St. George</v>
      </c>
      <c r="L773">
        <v>48039</v>
      </c>
      <c r="M773" t="str">
        <v/>
      </c>
      <c r="N773" t="str">
        <v/>
      </c>
      <c r="O773" t="str">
        <v>Yes</v>
      </c>
      <c r="P773">
        <v>32.3333906</v>
      </c>
      <c r="Q773">
        <v>-64.6942276</v>
      </c>
    </row>
    <row r="774" xml:space="preserve">
      <c r="A774" t="str">
        <v>B0212-26</v>
      </c>
      <c r="B774" t="str" xml:space="preserve">
        <v xml:space="preserve">14 Whale Bay Road_x000d__x000d_
Southampton, SB03</v>
      </c>
      <c r="C774" t="str">
        <v>Permitted Development</v>
      </c>
      <c r="D774" t="str">
        <v>Issued</v>
      </c>
      <c r="E774">
        <v>46213</v>
      </c>
      <c r="F774" t="str" xml:space="preserve">
        <v xml:space="preserve">PV Solar System 28 panels @ 430 W/panel; 20.40 sq.ft./panel; Total System area 571.2 sq.ft.; Total DC Output 12.04 ; Annual Output 15,600h; Total AC Output 10.35. _x000d_
Energy Storage System total power rating 15.36; Energy Storage Capacity 20h</v>
      </c>
      <c r="G774">
        <v>10.35</v>
      </c>
      <c r="H774" t="str">
        <v>Residential</v>
      </c>
      <c r="I774">
        <v>46177</v>
      </c>
      <c r="J774" t="str">
        <v/>
      </c>
      <c r="K774" t="str">
        <v>Southampton</v>
      </c>
      <c r="L774">
        <v>48039</v>
      </c>
      <c r="M774" t="str">
        <v/>
      </c>
      <c r="N774" t="str">
        <v/>
      </c>
      <c r="O774" t="str">
        <v>Yes</v>
      </c>
      <c r="P774">
        <v>32.2564621</v>
      </c>
      <c r="Q774">
        <v>-64.869504</v>
      </c>
    </row>
    <row r="775" xml:space="preserve">
      <c r="A775" t="str">
        <v>B0231-26</v>
      </c>
      <c r="B775" t="str" xml:space="preserve">
        <v xml:space="preserve">11 Vaughan's Bay Drive_x000d__x000d_
St. George's, DD02</v>
      </c>
      <c r="C775" t="str">
        <v>Permitted Development</v>
      </c>
      <c r="D775" t="str">
        <v>Issued</v>
      </c>
      <c r="E775">
        <v>46216</v>
      </c>
      <c r="F775" t="str" xml:space="preserve">
        <v xml:space="preserve">new Roof Mounted PV System: 10 panels @ 370W/panel, 19.7 sqft/panel, System Area 197 sqft. DC Output 3.7 , AC Output 2.9 , Annual Output 4768 h._x000d_
Existing PV System: DC Output 5.25 , AC Output 4.35 , Annual Output 7100 h. Total PV System: DC Output 8.95 , AC Output 7.25 , Total_x000d_
Annual Output 11868 h.</v>
      </c>
      <c r="G775">
        <v>7.25</v>
      </c>
      <c r="H775" t="str">
        <v>Residential</v>
      </c>
      <c r="I775">
        <v>46196</v>
      </c>
      <c r="J775" t="str">
        <v/>
      </c>
      <c r="K775" t="str">
        <v>St. George</v>
      </c>
      <c r="L775">
        <v>48043</v>
      </c>
      <c r="M775" t="str">
        <v/>
      </c>
      <c r="N775" t="str">
        <v/>
      </c>
      <c r="O775" t="str">
        <v>Yes</v>
      </c>
      <c r="P775">
        <v>32.3695132</v>
      </c>
      <c r="Q775">
        <v>-64.6558535</v>
      </c>
    </row>
    <row r="776">
      <c r="A776" t="str">
        <v>B0147-27</v>
      </c>
      <c r="B776" t="str">
        <v>Bermuda Airport Solar Farm ("The Finger")</v>
      </c>
      <c r="C776" t="str">
        <v>Permitted Development</v>
      </c>
      <c r="D776" t="str">
        <v>Issued</v>
      </c>
      <c r="E776">
        <v>46216</v>
      </c>
      <c r="F776" t="str">
        <v>Solar Finger 6MW</v>
      </c>
      <c r="G776">
        <v>6000</v>
      </c>
      <c r="H776" t="str">
        <v/>
      </c>
      <c r="I776" t="str">
        <v/>
      </c>
      <c r="J776" t="str">
        <v/>
      </c>
      <c r="K776" t="str">
        <v/>
      </c>
      <c r="L776" t="str">
        <v/>
      </c>
      <c r="M776" t="str">
        <v/>
      </c>
      <c r="N776" t="str">
        <v/>
      </c>
      <c r="O776" t="str">
        <v/>
      </c>
      <c r="P776">
        <v>32.359139</v>
      </c>
      <c r="Q776">
        <v>-64.685694</v>
      </c>
    </row>
    <row r="777" xml:space="preserve">
      <c r="A777" t="str">
        <v>B0235-26</v>
      </c>
      <c r="B777" t="str" xml:space="preserve">
        <v xml:space="preserve">5 Seabright Lane_x000d__x000d_
Paget, DV04</v>
      </c>
      <c r="C777" t="str">
        <v>Permitted Development</v>
      </c>
      <c r="D777" t="str">
        <v>Issued</v>
      </c>
      <c r="E777">
        <v>46216</v>
      </c>
      <c r="F777" t="str">
        <v>New PV Solar System 10 panels @ 370W/panel; 19.6sqft/panel; Total system area 393sqft; Total DC Output 3.7; Total AC Output 2.9 Existing PV System DC Output 11.68; Existing AC Output 9.28 Total DC Output 19.08; Total AC Output 15.08. Wall mounted battery system - 40h</v>
      </c>
      <c r="G777">
        <v>15.08</v>
      </c>
      <c r="H777" t="str">
        <v>Residential</v>
      </c>
      <c r="I777">
        <v>46197</v>
      </c>
      <c r="J777" t="str">
        <v/>
      </c>
      <c r="K777" t="str">
        <v>Paget</v>
      </c>
      <c r="L777">
        <v>48043</v>
      </c>
      <c r="M777" t="str">
        <v/>
      </c>
      <c r="N777" t="str">
        <v/>
      </c>
      <c r="O777" t="str">
        <v>Yes</v>
      </c>
      <c r="P777">
        <v>32.288749</v>
      </c>
      <c r="Q777">
        <v>-64.760913</v>
      </c>
    </row>
    <row r="778" xml:space="preserve">
      <c r="A778" t="str">
        <v>B0243-26</v>
      </c>
      <c r="B778" t="str" xml:space="preserve">
        <v xml:space="preserve">3 Harrington Sound Road_x000d__x000d_
Hamilton, HS02</v>
      </c>
      <c r="C778" t="str">
        <v>Permitted Development</v>
      </c>
      <c r="D778" t="str">
        <v>Issued</v>
      </c>
      <c r="E778">
        <v>46223</v>
      </c>
      <c r="F778" t="str">
        <v>Roof Mounted Solar PV System: 18 Panels @ 450 W/Panel; 22.4 sq ft/Panel; Total sq ft 403.2; Total DC Output 8.1 ; Total AC Output 6.84 ; Total Annual Output 11,745 h</v>
      </c>
      <c r="G778">
        <v>6.84</v>
      </c>
      <c r="H778" t="str">
        <v>Residential</v>
      </c>
      <c r="I778">
        <v>46202</v>
      </c>
      <c r="J778" t="str">
        <v/>
      </c>
      <c r="K778" t="str">
        <v>Hamilton</v>
      </c>
      <c r="L778">
        <v>48050</v>
      </c>
      <c r="M778" t="str">
        <v/>
      </c>
      <c r="N778" t="str">
        <v/>
      </c>
      <c r="O778" t="str">
        <v>Yes</v>
      </c>
      <c r="P778">
        <v>32.3375</v>
      </c>
      <c r="Q778">
        <v>-64.70222</v>
      </c>
    </row>
  </sheetData>
  <ignoredErrors>
    <ignoredError numberStoredAsText="1" sqref="A1:Q77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Summary</vt:lpstr>
      <vt:lpstr>Solar Panel Applications 23.07.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2026-07-24T13:39:38Z</dcterms:created>
  <dcterms:modified xsi:type="dcterms:W3CDTF">2026-08-14T13:40:34Z</dcterms:modified>
  <cp:lastModifiedBy>Correia, Tony D.</cp:lastModifiedBy>
  <dc:creator>Correia, Tony D.</dc:creator>
</cp:coreProperties>
</file>